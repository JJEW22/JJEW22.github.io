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258977402b9a53/Desktop/COOP/futureMath/personalWebsite/my-website/static/marchMadness/"/>
    </mc:Choice>
  </mc:AlternateContent>
  <xr:revisionPtr revIDLastSave="26" documentId="13_ncr:1_{66257C57-8D1C-42A7-A216-1A6E460CDFF7}" xr6:coauthVersionLast="47" xr6:coauthVersionMax="47" xr10:uidLastSave="{145A1C1D-0412-45C0-9B4F-FB3981A0A416}"/>
  <bookViews>
    <workbookView xWindow="-96" yWindow="-96" windowWidth="23232" windowHeight="12432" xr2:uid="{59FA6CC9-D02C-444C-8C9B-7D565C1F6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N21" i="1"/>
  <c r="M21" i="1"/>
  <c r="U46" i="1"/>
  <c r="T46" i="1"/>
  <c r="V46" i="1" l="1"/>
  <c r="W46" i="1" s="1"/>
  <c r="AC3" i="1" l="1"/>
  <c r="AC4" i="1"/>
  <c r="AC5" i="1"/>
  <c r="AC6" i="1"/>
  <c r="AC7" i="1"/>
  <c r="AC8" i="1"/>
  <c r="AC9" i="1"/>
  <c r="AC10" i="1"/>
  <c r="AC11" i="1"/>
  <c r="AC12" i="1"/>
  <c r="AC13" i="1"/>
  <c r="AC14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K38" i="1"/>
  <c r="K36" i="1"/>
  <c r="L36" i="1"/>
  <c r="M36" i="1"/>
  <c r="N36" i="1"/>
  <c r="O36" i="1"/>
  <c r="P36" i="1"/>
  <c r="K37" i="1"/>
  <c r="L37" i="1"/>
  <c r="M37" i="1"/>
  <c r="N37" i="1"/>
  <c r="O37" i="1"/>
  <c r="P37" i="1"/>
  <c r="L38" i="1"/>
  <c r="M38" i="1"/>
  <c r="N38" i="1"/>
  <c r="O38" i="1"/>
  <c r="P38" i="1"/>
  <c r="L23" i="1"/>
  <c r="L18" i="1"/>
  <c r="K22" i="1"/>
  <c r="L22" i="1"/>
  <c r="K17" i="1"/>
  <c r="L17" i="1"/>
  <c r="O21" i="1"/>
  <c r="P21" i="1" s="1"/>
  <c r="P24" i="1" s="1"/>
  <c r="M16" i="1"/>
  <c r="N16" i="1" s="1"/>
  <c r="N19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2" i="1" a="1"/>
  <c r="K2" i="1" s="1"/>
  <c r="AD6" i="1" l="1"/>
  <c r="AD9" i="1"/>
  <c r="AD7" i="1"/>
  <c r="AD14" i="1"/>
  <c r="AD13" i="1"/>
  <c r="AD12" i="1"/>
  <c r="AD11" i="1"/>
  <c r="AD4" i="1"/>
  <c r="AD8" i="1"/>
  <c r="M49" i="1"/>
  <c r="T35" i="1" s="1"/>
  <c r="P51" i="1"/>
  <c r="W37" i="1" s="1"/>
  <c r="O51" i="1"/>
  <c r="V37" i="1" s="1"/>
  <c r="N51" i="1"/>
  <c r="U37" i="1" s="1"/>
  <c r="P48" i="1"/>
  <c r="W34" i="1" s="1"/>
  <c r="L46" i="1"/>
  <c r="S32" i="1" s="1"/>
  <c r="N43" i="1"/>
  <c r="U29" i="1" s="1"/>
  <c r="K46" i="1"/>
  <c r="R32" i="1" s="1"/>
  <c r="M43" i="1"/>
  <c r="T29" i="1" s="1"/>
  <c r="L43" i="1"/>
  <c r="S29" i="1" s="1"/>
  <c r="K43" i="1"/>
  <c r="R29" i="1" s="1"/>
  <c r="P52" i="1"/>
  <c r="W38" i="1" s="1"/>
  <c r="L51" i="1"/>
  <c r="S37" i="1" s="1"/>
  <c r="N48" i="1"/>
  <c r="U34" i="1" s="1"/>
  <c r="P45" i="1"/>
  <c r="W31" i="1" s="1"/>
  <c r="P40" i="1"/>
  <c r="W26" i="1" s="1"/>
  <c r="O45" i="1"/>
  <c r="V31" i="1" s="1"/>
  <c r="O40" i="1"/>
  <c r="V26" i="1" s="1"/>
  <c r="P50" i="1"/>
  <c r="W36" i="1" s="1"/>
  <c r="L48" i="1"/>
  <c r="S34" i="1" s="1"/>
  <c r="N45" i="1"/>
  <c r="U31" i="1" s="1"/>
  <c r="P42" i="1"/>
  <c r="W28" i="1" s="1"/>
  <c r="N47" i="1"/>
  <c r="U33" i="1" s="1"/>
  <c r="K40" i="1"/>
  <c r="R26" i="1" s="1"/>
  <c r="K51" i="1"/>
  <c r="R37" i="1" s="1"/>
  <c r="M48" i="1"/>
  <c r="T34" i="1" s="1"/>
  <c r="N40" i="1"/>
  <c r="U26" i="1" s="1"/>
  <c r="O50" i="1"/>
  <c r="V36" i="1" s="1"/>
  <c r="K48" i="1"/>
  <c r="R34" i="1" s="1"/>
  <c r="M45" i="1"/>
  <c r="T31" i="1" s="1"/>
  <c r="O42" i="1"/>
  <c r="V28" i="1" s="1"/>
  <c r="L45" i="1"/>
  <c r="S31" i="1" s="1"/>
  <c r="N42" i="1"/>
  <c r="U28" i="1" s="1"/>
  <c r="L50" i="1"/>
  <c r="S36" i="1" s="1"/>
  <c r="M51" i="1"/>
  <c r="T37" i="1" s="1"/>
  <c r="O48" i="1"/>
  <c r="V34" i="1" s="1"/>
  <c r="M40" i="1"/>
  <c r="T26" i="1" s="1"/>
  <c r="N50" i="1"/>
  <c r="U36" i="1" s="1"/>
  <c r="P47" i="1"/>
  <c r="W33" i="1" s="1"/>
  <c r="L40" i="1"/>
  <c r="S26" i="1" s="1"/>
  <c r="M50" i="1"/>
  <c r="T36" i="1" s="1"/>
  <c r="O47" i="1"/>
  <c r="V33" i="1" s="1"/>
  <c r="K45" i="1"/>
  <c r="R31" i="1" s="1"/>
  <c r="M42" i="1"/>
  <c r="T28" i="1" s="1"/>
  <c r="L42" i="1"/>
  <c r="S28" i="1" s="1"/>
  <c r="K42" i="1"/>
  <c r="R28" i="1" s="1"/>
  <c r="O52" i="1"/>
  <c r="V38" i="1" s="1"/>
  <c r="K50" i="1"/>
  <c r="R36" i="1" s="1"/>
  <c r="M47" i="1"/>
  <c r="T33" i="1" s="1"/>
  <c r="O44" i="1"/>
  <c r="V30" i="1" s="1"/>
  <c r="N52" i="1"/>
  <c r="U38" i="1" s="1"/>
  <c r="P49" i="1"/>
  <c r="W35" i="1" s="1"/>
  <c r="L47" i="1"/>
  <c r="S33" i="1" s="1"/>
  <c r="N44" i="1"/>
  <c r="U30" i="1" s="1"/>
  <c r="P41" i="1"/>
  <c r="W27" i="1" s="1"/>
  <c r="K47" i="1"/>
  <c r="R33" i="1" s="1"/>
  <c r="M44" i="1"/>
  <c r="T30" i="1" s="1"/>
  <c r="O41" i="1"/>
  <c r="V27" i="1" s="1"/>
  <c r="P44" i="1"/>
  <c r="W30" i="1" s="1"/>
  <c r="M52" i="1"/>
  <c r="T38" i="1" s="1"/>
  <c r="O49" i="1"/>
  <c r="V35" i="1" s="1"/>
  <c r="L52" i="1"/>
  <c r="S38" i="1" s="1"/>
  <c r="N49" i="1"/>
  <c r="U35" i="1" s="1"/>
  <c r="P46" i="1"/>
  <c r="W32" i="1" s="1"/>
  <c r="L44" i="1"/>
  <c r="S30" i="1" s="1"/>
  <c r="N41" i="1"/>
  <c r="U27" i="1" s="1"/>
  <c r="K44" i="1"/>
  <c r="R30" i="1" s="1"/>
  <c r="M41" i="1"/>
  <c r="T27" i="1" s="1"/>
  <c r="L41" i="1"/>
  <c r="S27" i="1" s="1"/>
  <c r="K52" i="1"/>
  <c r="R38" i="1" s="1"/>
  <c r="O46" i="1"/>
  <c r="V32" i="1" s="1"/>
  <c r="L49" i="1"/>
  <c r="S35" i="1" s="1"/>
  <c r="N46" i="1"/>
  <c r="U32" i="1" s="1"/>
  <c r="P43" i="1"/>
  <c r="W29" i="1" s="1"/>
  <c r="K49" i="1"/>
  <c r="R35" i="1" s="1"/>
  <c r="M46" i="1"/>
  <c r="T32" i="1" s="1"/>
  <c r="O43" i="1"/>
  <c r="V29" i="1" s="1"/>
  <c r="K41" i="1"/>
  <c r="R27" i="1" s="1"/>
  <c r="AD5" i="1"/>
  <c r="AD10" i="1"/>
  <c r="AD2" i="1"/>
  <c r="AD3" i="1"/>
  <c r="N18" i="1"/>
  <c r="M18" i="1"/>
  <c r="P23" i="1"/>
  <c r="O23" i="1"/>
  <c r="N23" i="1"/>
  <c r="M23" i="1"/>
  <c r="N17" i="1"/>
  <c r="M19" i="1"/>
  <c r="M17" i="1"/>
  <c r="P22" i="1"/>
  <c r="O24" i="1"/>
  <c r="N24" i="1"/>
  <c r="M24" i="1"/>
  <c r="O22" i="1"/>
  <c r="N22" i="1"/>
  <c r="M22" i="1"/>
  <c r="V8" i="1"/>
  <c r="X8" i="1" s="1"/>
  <c r="V7" i="1"/>
  <c r="X7" i="1" s="1"/>
  <c r="V6" i="1"/>
  <c r="X6" i="1" s="1"/>
  <c r="V5" i="1"/>
  <c r="X5" i="1" s="1"/>
  <c r="V4" i="1"/>
  <c r="X4" i="1" s="1"/>
  <c r="V3" i="1"/>
  <c r="O16" i="1"/>
  <c r="V2" i="1"/>
  <c r="V14" i="1"/>
  <c r="X14" i="1" s="1"/>
  <c r="V13" i="1"/>
  <c r="X13" i="1" s="1"/>
  <c r="V12" i="1"/>
  <c r="X12" i="1" s="1"/>
  <c r="V11" i="1"/>
  <c r="X11" i="1" s="1"/>
  <c r="V10" i="1"/>
  <c r="X10" i="1" s="1"/>
  <c r="V9" i="1"/>
  <c r="X9" i="1" s="1"/>
  <c r="W40" i="1" l="1"/>
  <c r="X3" i="1"/>
  <c r="W3" i="1"/>
  <c r="AB7" i="1"/>
  <c r="U40" i="1"/>
  <c r="R40" i="1"/>
  <c r="AB2" i="1"/>
  <c r="AB10" i="1"/>
  <c r="AB5" i="1"/>
  <c r="AB12" i="1"/>
  <c r="AB8" i="1"/>
  <c r="T40" i="1"/>
  <c r="AB6" i="1"/>
  <c r="X2" i="1"/>
  <c r="Y6" i="1" s="1"/>
  <c r="AB9" i="1"/>
  <c r="AB3" i="1"/>
  <c r="S40" i="1"/>
  <c r="AB4" i="1"/>
  <c r="AB11" i="1"/>
  <c r="AB13" i="1"/>
  <c r="V40" i="1"/>
  <c r="AB14" i="1"/>
  <c r="K29" i="1"/>
  <c r="L34" i="1"/>
  <c r="P16" i="1"/>
  <c r="O30" i="1" s="1"/>
  <c r="O18" i="1"/>
  <c r="O17" i="1"/>
  <c r="O19" i="1"/>
  <c r="W2" i="1"/>
  <c r="W10" i="1"/>
  <c r="W5" i="1"/>
  <c r="W12" i="1"/>
  <c r="W6" i="1"/>
  <c r="W4" i="1"/>
  <c r="W7" i="1"/>
  <c r="W9" i="1"/>
  <c r="W11" i="1"/>
  <c r="W13" i="1"/>
  <c r="W14" i="1"/>
  <c r="W8" i="1"/>
  <c r="Y3" i="1" l="1"/>
  <c r="Y4" i="1"/>
  <c r="Y7" i="1"/>
  <c r="Y5" i="1"/>
  <c r="Y8" i="1"/>
  <c r="Y9" i="1"/>
  <c r="Y2" i="1"/>
  <c r="Y11" i="1"/>
  <c r="Y10" i="1"/>
  <c r="Y14" i="1"/>
  <c r="Y12" i="1"/>
  <c r="Y13" i="1"/>
  <c r="N34" i="1"/>
  <c r="N27" i="1"/>
  <c r="M32" i="1"/>
  <c r="L28" i="1"/>
  <c r="M28" i="1"/>
  <c r="K33" i="1"/>
  <c r="N26" i="1"/>
  <c r="M35" i="1"/>
  <c r="O31" i="1"/>
  <c r="O33" i="1"/>
  <c r="O26" i="1"/>
  <c r="M30" i="1"/>
  <c r="O34" i="1"/>
  <c r="P29" i="1"/>
  <c r="P35" i="1"/>
  <c r="P33" i="1"/>
  <c r="P31" i="1"/>
  <c r="P27" i="1"/>
  <c r="P30" i="1"/>
  <c r="P26" i="1"/>
  <c r="P28" i="1"/>
  <c r="P34" i="1"/>
  <c r="P32" i="1"/>
  <c r="L33" i="1"/>
  <c r="L32" i="1"/>
  <c r="N28" i="1"/>
  <c r="M27" i="1"/>
  <c r="L30" i="1"/>
  <c r="N29" i="1"/>
  <c r="K32" i="1"/>
  <c r="M29" i="1"/>
  <c r="K26" i="1"/>
  <c r="L35" i="1"/>
  <c r="M31" i="1"/>
  <c r="M33" i="1"/>
  <c r="L27" i="1"/>
  <c r="N35" i="1"/>
  <c r="L31" i="1"/>
  <c r="K35" i="1"/>
  <c r="N32" i="1"/>
  <c r="L29" i="1"/>
  <c r="L26" i="1"/>
  <c r="K31" i="1"/>
  <c r="N30" i="1"/>
  <c r="K34" i="1"/>
  <c r="K28" i="1"/>
  <c r="O32" i="1"/>
  <c r="M26" i="1"/>
  <c r="O27" i="1"/>
  <c r="O28" i="1"/>
  <c r="M34" i="1"/>
  <c r="N33" i="1"/>
  <c r="K27" i="1"/>
  <c r="O35" i="1"/>
  <c r="N31" i="1"/>
  <c r="K30" i="1"/>
  <c r="O29" i="1"/>
  <c r="R2" i="1"/>
  <c r="T2" i="1" s="1"/>
  <c r="R4" i="1"/>
  <c r="T4" i="1" s="1"/>
  <c r="R6" i="1"/>
  <c r="T6" i="1" s="1"/>
  <c r="R8" i="1"/>
  <c r="T8" i="1" s="1"/>
  <c r="R9" i="1"/>
  <c r="T9" i="1" s="1"/>
  <c r="R13" i="1"/>
  <c r="T13" i="1" s="1"/>
  <c r="R7" i="1"/>
  <c r="T7" i="1" s="1"/>
  <c r="R14" i="1"/>
  <c r="T14" i="1" s="1"/>
  <c r="R3" i="1"/>
  <c r="T3" i="1" s="1"/>
  <c r="R11" i="1"/>
  <c r="T11" i="1" s="1"/>
  <c r="R10" i="1"/>
  <c r="T10" i="1" s="1"/>
  <c r="R5" i="1"/>
  <c r="T5" i="1" s="1"/>
  <c r="R12" i="1"/>
  <c r="T12" i="1" s="1"/>
  <c r="P18" i="1"/>
  <c r="P19" i="1"/>
  <c r="P17" i="1"/>
  <c r="S14" i="1" l="1"/>
  <c r="S4" i="1"/>
  <c r="S6" i="1"/>
  <c r="S12" i="1"/>
  <c r="S10" i="1"/>
  <c r="S7" i="1"/>
  <c r="S11" i="1"/>
  <c r="S13" i="1"/>
  <c r="S9" i="1"/>
  <c r="S2" i="1"/>
  <c r="S3" i="1"/>
  <c r="S5" i="1"/>
  <c r="S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<sst xmlns="http://schemas.openxmlformats.org/spreadsheetml/2006/main" count="45" uniqueCount="41">
  <si>
    <t>[24, 11, 7, 2, 1, 1]</t>
  </si>
  <si>
    <t>[25, 8, 6, 3, 1, 0]</t>
  </si>
  <si>
    <t>[27, 10, 4, 2, 1, 0]</t>
  </si>
  <si>
    <t>[23, 11, 6, 3, 0, 0]</t>
  </si>
  <si>
    <t>[22, 9, 5, 2, 1, 0]</t>
  </si>
  <si>
    <t>[24, 10, 7, 1, 0, 0]</t>
  </si>
  <si>
    <t>[25, 9, 3, 2, 0, 0]</t>
  </si>
  <si>
    <t>[23, 11, 5, 1, 0, 0]</t>
  </si>
  <si>
    <t>[25, 10, 4, 1, 0, 0]</t>
  </si>
  <si>
    <t>[23, 9, 3, 2, 0, 0]</t>
  </si>
  <si>
    <t>[20, 7, 4, 2, 0, 0]</t>
  </si>
  <si>
    <t>[20, 6, 3, 1, 1, 0]</t>
  </si>
  <si>
    <t>[23, 8, 2, 1, 0, 0]</t>
  </si>
  <si>
    <t>Name</t>
  </si>
  <si>
    <t>Score</t>
  </si>
  <si>
    <t>Possible Add.</t>
  </si>
  <si>
    <t>Underdog pts.</t>
  </si>
  <si>
    <t>Correct Picks</t>
  </si>
  <si>
    <t>Round picks</t>
  </si>
  <si>
    <t>Num Bonus Stars</t>
  </si>
  <si>
    <t>TheScript</t>
  </si>
  <si>
    <t>VenmoIsJJEW22</t>
  </si>
  <si>
    <t>aidan</t>
  </si>
  <si>
    <t>NoStJohns</t>
  </si>
  <si>
    <t>manu</t>
  </si>
  <si>
    <t>brian</t>
  </si>
  <si>
    <t>sandycheeks</t>
  </si>
  <si>
    <t>sam</t>
  </si>
  <si>
    <t>zeno</t>
  </si>
  <si>
    <t>anish</t>
  </si>
  <si>
    <t>nick</t>
  </si>
  <si>
    <t>dustin</t>
  </si>
  <si>
    <t>na'ama</t>
  </si>
  <si>
    <t>old amounts</t>
  </si>
  <si>
    <t>old base</t>
  </si>
  <si>
    <t>new base</t>
  </si>
  <si>
    <t>% of total</t>
  </si>
  <si>
    <t>w/ bonus</t>
  </si>
  <si>
    <t>new rank</t>
  </si>
  <si>
    <t>PLAN</t>
  </si>
  <si>
    <t>fib starting 1 term later and 5 bonus points to 2nd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</si>
</sst>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.9"/>
      <color rgb="FF333D4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C3E6-1313-4909-83D8-6D1A2BDCBA9C}">
  <dimension ref="A1:AD52"/>
  <sheetViews>
    <sheetView tabSelected="1" topLeftCell="A10" workbookViewId="0">
      <selection activeCell="F16" sqref="F16"/>
    </sheetView>
  </sheetViews>
  <sheetFormatPr defaultRowHeight="14.4" x14ac:dyDescent="0.55000000000000004"/>
  <cols>
    <col min="4" max="4" width="6.734375" customWidth="1"/>
    <col min="6" max="6" width="14.26171875" bestFit="1" customWidth="1"/>
  </cols>
  <sheetData>
    <row r="1" spans="1:30" x14ac:dyDescent="0.55000000000000004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R1" t="s">
        <v>34</v>
      </c>
      <c r="S1" t="s">
        <v>36</v>
      </c>
      <c r="T1" t="s">
        <v>37</v>
      </c>
      <c r="V1" t="s">
        <v>35</v>
      </c>
      <c r="X1" t="s">
        <v>37</v>
      </c>
      <c r="Y1" t="s">
        <v>38</v>
      </c>
      <c r="AA1" t="s">
        <v>35</v>
      </c>
      <c r="AC1" t="s">
        <v>37</v>
      </c>
      <c r="AD1" t="s">
        <v>38</v>
      </c>
    </row>
    <row r="2" spans="1:30" x14ac:dyDescent="0.55000000000000004">
      <c r="A2" t="s">
        <v>20</v>
      </c>
      <c r="B2">
        <v>1003</v>
      </c>
      <c r="C2">
        <v>0</v>
      </c>
      <c r="D2">
        <v>13</v>
      </c>
      <c r="E2">
        <v>46</v>
      </c>
      <c r="F2" t="s">
        <v>0</v>
      </c>
      <c r="G2">
        <v>1</v>
      </c>
      <c r="K2" s="1" cm="1">
        <f t="array" ref="K2:P2">--_xlfn.TEXTSPLIT(F2,{":","[","]",",",""""," "},,TRUE)</f>
        <v>24</v>
      </c>
      <c r="L2">
        <v>11</v>
      </c>
      <c r="M2">
        <v>7</v>
      </c>
      <c r="N2">
        <v>2</v>
      </c>
      <c r="O2">
        <v>1</v>
      </c>
      <c r="P2">
        <v>1</v>
      </c>
      <c r="R2">
        <f t="shared" ref="R2:R14" si="0">SUMPRODUCT(_xlfn.ANCHORARRAY(K2), $K$16:$P$16)</f>
        <v>980</v>
      </c>
      <c r="S2" s="2">
        <f>R2 / SUM($R$2:$R$14)</f>
        <v>0.1104847801578354</v>
      </c>
      <c r="T2">
        <f>R2 + D2 + G2 * 10</f>
        <v>1003</v>
      </c>
      <c r="V2">
        <f t="shared" ref="V2:V14" si="1">SUMPRODUCT(_xlfn.ANCHORARRAY(K2), $K$21:$P$21)</f>
        <v>1715</v>
      </c>
      <c r="W2" s="2">
        <f>V2 / SUM($V$2:$V$14)</f>
        <v>0.10789556464296948</v>
      </c>
      <c r="X2">
        <f>V2 + 2*D2 + G2 * 25</f>
        <v>1766</v>
      </c>
      <c r="Y2">
        <f>_xlfn.RANK.AVG(X2, $X$2:$X$14)</f>
        <v>1</v>
      </c>
      <c r="AA2">
        <f>SUMPRODUCT(_xlfn.ANCHORARRAY(K2), $R$16:$W$16)</f>
        <v>860</v>
      </c>
      <c r="AB2">
        <f>AA2 / SUM($V$2:$V$14)</f>
        <v>5.4105064485687325E-2</v>
      </c>
      <c r="AC2">
        <f>AA2 + D2 + G2 * 10</f>
        <v>883</v>
      </c>
      <c r="AD2">
        <f>_xlfn.RANK.AVG(AC2, $AC$2:$AC$14)</f>
        <v>1</v>
      </c>
    </row>
    <row r="3" spans="1:30" x14ac:dyDescent="0.55000000000000004">
      <c r="A3" t="s">
        <v>21</v>
      </c>
      <c r="B3">
        <v>850</v>
      </c>
      <c r="C3">
        <v>0</v>
      </c>
      <c r="D3">
        <v>20</v>
      </c>
      <c r="E3">
        <v>43</v>
      </c>
      <c r="F3" t="s">
        <v>1</v>
      </c>
      <c r="G3">
        <v>1</v>
      </c>
      <c r="K3" s="1" cm="1">
        <f t="array" ref="K3:P3">--_xlfn.TEXTSPLIT(F3,{":","[","]",",",""""," "},,TRUE)</f>
        <v>25</v>
      </c>
      <c r="L3">
        <v>8</v>
      </c>
      <c r="M3">
        <v>6</v>
      </c>
      <c r="N3">
        <v>3</v>
      </c>
      <c r="O3">
        <v>1</v>
      </c>
      <c r="P3">
        <v>0</v>
      </c>
      <c r="R3">
        <f t="shared" si="0"/>
        <v>820</v>
      </c>
      <c r="S3" s="2">
        <f t="shared" ref="S3:S14" si="2">R3 / SUM($R$2:$R$14)</f>
        <v>9.2446448703494929E-2</v>
      </c>
      <c r="T3">
        <f t="shared" ref="T3:T14" si="3">R3 + D3 + G3 * 10</f>
        <v>850</v>
      </c>
      <c r="V3">
        <f t="shared" si="1"/>
        <v>1450</v>
      </c>
      <c r="W3" s="2">
        <f>V3 / SUM($V$2:$V$14)</f>
        <v>9.1223655237496065E-2</v>
      </c>
      <c r="X3">
        <f t="shared" ref="X3:X14" si="4">V3 + 2*D3 + G3 * 25</f>
        <v>1515</v>
      </c>
      <c r="Y3">
        <f t="shared" ref="Y3:Y14" si="5">_xlfn.RANK.AVG(X3, $X$2:$X$14)</f>
        <v>2</v>
      </c>
      <c r="AA3">
        <f t="shared" ref="AA3:AA14" si="6">SUMPRODUCT(_xlfn.ANCHORARRAY(K3), $R$16:$W$16)</f>
        <v>760</v>
      </c>
      <c r="AB3">
        <f t="shared" ref="AB3:AB14" si="7">AA3 / SUM($V$2:$V$14)</f>
        <v>4.7813777917584149E-2</v>
      </c>
      <c r="AC3">
        <f t="shared" ref="AC3:AC14" si="8">AA3 + D3 + G3 * 10</f>
        <v>790</v>
      </c>
      <c r="AD3">
        <f t="shared" ref="AD3:AD14" si="9">_xlfn.RANK.AVG(AC3, $AC$2:$AC$14)</f>
        <v>2</v>
      </c>
    </row>
    <row r="4" spans="1:30" x14ac:dyDescent="0.55000000000000004">
      <c r="A4" t="s">
        <v>22</v>
      </c>
      <c r="B4">
        <v>806</v>
      </c>
      <c r="C4">
        <v>0</v>
      </c>
      <c r="D4">
        <v>26</v>
      </c>
      <c r="E4">
        <v>44</v>
      </c>
      <c r="F4" t="s">
        <v>2</v>
      </c>
      <c r="G4">
        <v>1</v>
      </c>
      <c r="K4" s="1" cm="1">
        <f t="array" ref="K4:P4">--_xlfn.TEXTSPLIT(F4,{":","[","]",",",""""," "},,TRUE)</f>
        <v>27</v>
      </c>
      <c r="L4">
        <v>10</v>
      </c>
      <c r="M4">
        <v>4</v>
      </c>
      <c r="N4">
        <v>2</v>
      </c>
      <c r="O4">
        <v>1</v>
      </c>
      <c r="P4">
        <v>0</v>
      </c>
      <c r="R4">
        <f t="shared" si="0"/>
        <v>770</v>
      </c>
      <c r="S4" s="2">
        <f t="shared" si="2"/>
        <v>8.6809470124013535E-2</v>
      </c>
      <c r="T4">
        <f t="shared" si="3"/>
        <v>806</v>
      </c>
      <c r="V4">
        <f t="shared" si="1"/>
        <v>1380</v>
      </c>
      <c r="W4" s="2">
        <f t="shared" ref="W4:W14" si="10">V4 / SUM($V$2:$V$14)</f>
        <v>8.6819754639823846E-2</v>
      </c>
      <c r="X4">
        <f t="shared" si="4"/>
        <v>1457</v>
      </c>
      <c r="Y4">
        <f t="shared" si="5"/>
        <v>3</v>
      </c>
      <c r="AA4">
        <f t="shared" si="6"/>
        <v>720</v>
      </c>
      <c r="AB4">
        <f t="shared" si="7"/>
        <v>4.5297263290342872E-2</v>
      </c>
      <c r="AC4">
        <f t="shared" si="8"/>
        <v>756</v>
      </c>
      <c r="AD4">
        <f t="shared" si="9"/>
        <v>4</v>
      </c>
    </row>
    <row r="5" spans="1:30" x14ac:dyDescent="0.55000000000000004">
      <c r="A5" t="s">
        <v>23</v>
      </c>
      <c r="B5">
        <v>802</v>
      </c>
      <c r="C5">
        <v>0</v>
      </c>
      <c r="D5">
        <v>22</v>
      </c>
      <c r="E5">
        <v>43</v>
      </c>
      <c r="F5" t="s">
        <v>3</v>
      </c>
      <c r="G5">
        <v>0</v>
      </c>
      <c r="K5" s="1" cm="1">
        <f t="array" ref="K5:P5">--_xlfn.TEXTSPLIT(F5,{":","[","]",",",""""," "},,TRUE)</f>
        <v>23</v>
      </c>
      <c r="L5">
        <v>11</v>
      </c>
      <c r="M5">
        <v>6</v>
      </c>
      <c r="N5">
        <v>3</v>
      </c>
      <c r="O5">
        <v>0</v>
      </c>
      <c r="P5">
        <v>0</v>
      </c>
      <c r="R5">
        <f t="shared" si="0"/>
        <v>780</v>
      </c>
      <c r="S5" s="2">
        <f t="shared" si="2"/>
        <v>8.7936865839909811E-2</v>
      </c>
      <c r="T5">
        <f t="shared" si="3"/>
        <v>802</v>
      </c>
      <c r="V5">
        <f t="shared" si="1"/>
        <v>1385</v>
      </c>
      <c r="W5" s="2">
        <f t="shared" si="10"/>
        <v>8.7134318968228999E-2</v>
      </c>
      <c r="X5">
        <f t="shared" si="4"/>
        <v>1429</v>
      </c>
      <c r="Y5">
        <f t="shared" si="5"/>
        <v>4</v>
      </c>
      <c r="AA5">
        <f t="shared" si="6"/>
        <v>750</v>
      </c>
      <c r="AB5">
        <f t="shared" si="7"/>
        <v>4.7184649260773828E-2</v>
      </c>
      <c r="AC5">
        <f t="shared" si="8"/>
        <v>772</v>
      </c>
      <c r="AD5">
        <f t="shared" si="9"/>
        <v>3</v>
      </c>
    </row>
    <row r="6" spans="1:30" x14ac:dyDescent="0.55000000000000004">
      <c r="A6" t="s">
        <v>24</v>
      </c>
      <c r="B6">
        <v>756</v>
      </c>
      <c r="C6">
        <v>0</v>
      </c>
      <c r="D6">
        <v>6</v>
      </c>
      <c r="E6">
        <v>39</v>
      </c>
      <c r="F6" t="s">
        <v>4</v>
      </c>
      <c r="G6">
        <v>2</v>
      </c>
      <c r="K6" s="1" cm="1">
        <f t="array" ref="K6:P6">--_xlfn.TEXTSPLIT(F6,{":","[","]",",",""""," "},,TRUE)</f>
        <v>22</v>
      </c>
      <c r="L6">
        <v>9</v>
      </c>
      <c r="M6">
        <v>5</v>
      </c>
      <c r="N6">
        <v>2</v>
      </c>
      <c r="O6">
        <v>1</v>
      </c>
      <c r="P6">
        <v>0</v>
      </c>
      <c r="R6">
        <f t="shared" si="0"/>
        <v>730</v>
      </c>
      <c r="S6" s="2">
        <f t="shared" si="2"/>
        <v>8.2299887260428417E-2</v>
      </c>
      <c r="T6">
        <f t="shared" si="3"/>
        <v>756</v>
      </c>
      <c r="V6">
        <f t="shared" si="1"/>
        <v>1295</v>
      </c>
      <c r="W6" s="2">
        <f t="shared" si="10"/>
        <v>8.1472161056936138E-2</v>
      </c>
      <c r="X6">
        <f t="shared" si="4"/>
        <v>1357</v>
      </c>
      <c r="Y6">
        <f t="shared" si="5"/>
        <v>5</v>
      </c>
      <c r="AA6">
        <f t="shared" si="6"/>
        <v>680</v>
      </c>
      <c r="AB6">
        <f t="shared" si="7"/>
        <v>4.2780748663101602E-2</v>
      </c>
      <c r="AC6">
        <f t="shared" si="8"/>
        <v>706</v>
      </c>
      <c r="AD6">
        <f t="shared" si="9"/>
        <v>6</v>
      </c>
    </row>
    <row r="7" spans="1:30" x14ac:dyDescent="0.55000000000000004">
      <c r="A7" t="s">
        <v>25</v>
      </c>
      <c r="B7">
        <v>731</v>
      </c>
      <c r="C7">
        <v>0</v>
      </c>
      <c r="D7">
        <v>21</v>
      </c>
      <c r="E7">
        <v>42</v>
      </c>
      <c r="F7" t="s">
        <v>5</v>
      </c>
      <c r="G7">
        <v>1</v>
      </c>
      <c r="K7" s="1" cm="1">
        <f t="array" ref="K7:P7">--_xlfn.TEXTSPLIT(F7,{":","[","]",",",""""," "},,TRUE)</f>
        <v>24</v>
      </c>
      <c r="L7">
        <v>10</v>
      </c>
      <c r="M7">
        <v>7</v>
      </c>
      <c r="N7">
        <v>1</v>
      </c>
      <c r="O7">
        <v>0</v>
      </c>
      <c r="P7">
        <v>0</v>
      </c>
      <c r="R7">
        <f t="shared" si="0"/>
        <v>700</v>
      </c>
      <c r="S7" s="2">
        <f t="shared" si="2"/>
        <v>7.8917700112739575E-2</v>
      </c>
      <c r="T7">
        <f t="shared" si="3"/>
        <v>731</v>
      </c>
      <c r="V7">
        <f t="shared" si="1"/>
        <v>1260</v>
      </c>
      <c r="W7" s="2">
        <f t="shared" si="10"/>
        <v>7.9270210758100035E-2</v>
      </c>
      <c r="X7">
        <f t="shared" si="4"/>
        <v>1327</v>
      </c>
      <c r="Y7">
        <f t="shared" si="5"/>
        <v>6</v>
      </c>
      <c r="AA7">
        <f t="shared" si="6"/>
        <v>690</v>
      </c>
      <c r="AB7">
        <f t="shared" si="7"/>
        <v>4.3409877319911923E-2</v>
      </c>
      <c r="AC7">
        <f t="shared" si="8"/>
        <v>721</v>
      </c>
      <c r="AD7">
        <f t="shared" si="9"/>
        <v>5</v>
      </c>
    </row>
    <row r="8" spans="1:30" x14ac:dyDescent="0.55000000000000004">
      <c r="A8" t="s">
        <v>26</v>
      </c>
      <c r="B8">
        <v>673</v>
      </c>
      <c r="C8">
        <v>0</v>
      </c>
      <c r="D8">
        <v>23</v>
      </c>
      <c r="E8">
        <v>39</v>
      </c>
      <c r="F8" t="s">
        <v>6</v>
      </c>
      <c r="G8">
        <v>3</v>
      </c>
      <c r="K8" s="1" cm="1">
        <f t="array" ref="K8:P8">--_xlfn.TEXTSPLIT(F8,{":","[","]",",",""""," "},,TRUE)</f>
        <v>25</v>
      </c>
      <c r="L8">
        <v>9</v>
      </c>
      <c r="M8">
        <v>3</v>
      </c>
      <c r="N8">
        <v>2</v>
      </c>
      <c r="O8">
        <v>0</v>
      </c>
      <c r="P8">
        <v>0</v>
      </c>
      <c r="R8">
        <f t="shared" si="0"/>
        <v>620</v>
      </c>
      <c r="S8" s="2">
        <f t="shared" si="2"/>
        <v>6.9898534385569339E-2</v>
      </c>
      <c r="T8">
        <f t="shared" si="3"/>
        <v>673</v>
      </c>
      <c r="V8">
        <f t="shared" si="1"/>
        <v>1125</v>
      </c>
      <c r="W8" s="2">
        <f t="shared" si="10"/>
        <v>7.0776973891160735E-2</v>
      </c>
      <c r="X8">
        <f t="shared" si="4"/>
        <v>1246</v>
      </c>
      <c r="Y8">
        <f t="shared" si="5"/>
        <v>7</v>
      </c>
      <c r="AA8">
        <f t="shared" si="6"/>
        <v>600</v>
      </c>
      <c r="AB8">
        <f t="shared" si="7"/>
        <v>3.7747719408619061E-2</v>
      </c>
      <c r="AC8">
        <f t="shared" si="8"/>
        <v>653</v>
      </c>
      <c r="AD8">
        <f t="shared" si="9"/>
        <v>9</v>
      </c>
    </row>
    <row r="9" spans="1:30" x14ac:dyDescent="0.55000000000000004">
      <c r="A9" t="s">
        <v>27</v>
      </c>
      <c r="B9">
        <v>667</v>
      </c>
      <c r="C9">
        <v>0</v>
      </c>
      <c r="D9">
        <v>17</v>
      </c>
      <c r="E9">
        <v>40</v>
      </c>
      <c r="F9" t="s">
        <v>7</v>
      </c>
      <c r="G9">
        <v>0</v>
      </c>
      <c r="K9" s="1" cm="1">
        <f t="array" ref="K9:P9">--_xlfn.TEXTSPLIT(F9,{":","[","]",",",""""," "},,TRUE)</f>
        <v>23</v>
      </c>
      <c r="L9">
        <v>11</v>
      </c>
      <c r="M9">
        <v>5</v>
      </c>
      <c r="N9">
        <v>1</v>
      </c>
      <c r="O9">
        <v>0</v>
      </c>
      <c r="P9">
        <v>0</v>
      </c>
      <c r="R9">
        <f t="shared" si="0"/>
        <v>650</v>
      </c>
      <c r="S9" s="2">
        <f t="shared" si="2"/>
        <v>7.3280721533258167E-2</v>
      </c>
      <c r="T9">
        <f t="shared" si="3"/>
        <v>667</v>
      </c>
      <c r="V9">
        <f t="shared" si="1"/>
        <v>1175</v>
      </c>
      <c r="W9" s="2">
        <f t="shared" si="10"/>
        <v>7.3922617175212327E-2</v>
      </c>
      <c r="X9">
        <f t="shared" si="4"/>
        <v>1209</v>
      </c>
      <c r="Y9">
        <f t="shared" si="5"/>
        <v>9</v>
      </c>
      <c r="AA9">
        <f t="shared" si="6"/>
        <v>640</v>
      </c>
      <c r="AB9">
        <f t="shared" si="7"/>
        <v>4.0264234035860332E-2</v>
      </c>
      <c r="AC9">
        <f t="shared" si="8"/>
        <v>657</v>
      </c>
      <c r="AD9">
        <f t="shared" si="9"/>
        <v>7.5</v>
      </c>
    </row>
    <row r="10" spans="1:30" x14ac:dyDescent="0.55000000000000004">
      <c r="A10" t="s">
        <v>28</v>
      </c>
      <c r="B10">
        <v>667</v>
      </c>
      <c r="C10">
        <v>0</v>
      </c>
      <c r="D10">
        <v>7</v>
      </c>
      <c r="E10">
        <v>40</v>
      </c>
      <c r="F10" t="s">
        <v>8</v>
      </c>
      <c r="G10">
        <v>4</v>
      </c>
      <c r="K10" s="1" cm="1">
        <f t="array" ref="K10:P10">--_xlfn.TEXTSPLIT(F10,{":","[","]",",",""""," "},,TRUE)</f>
        <v>25</v>
      </c>
      <c r="L10">
        <v>10</v>
      </c>
      <c r="M10">
        <v>4</v>
      </c>
      <c r="N10">
        <v>1</v>
      </c>
      <c r="O10">
        <v>0</v>
      </c>
      <c r="P10">
        <v>0</v>
      </c>
      <c r="R10">
        <f t="shared" si="0"/>
        <v>620</v>
      </c>
      <c r="S10" s="2">
        <f t="shared" si="2"/>
        <v>6.9898534385569339E-2</v>
      </c>
      <c r="T10">
        <f t="shared" si="3"/>
        <v>667</v>
      </c>
      <c r="V10">
        <f t="shared" si="1"/>
        <v>1130</v>
      </c>
      <c r="W10" s="2">
        <f t="shared" si="10"/>
        <v>7.1091538219565903E-2</v>
      </c>
      <c r="X10">
        <f t="shared" si="4"/>
        <v>1244</v>
      </c>
      <c r="Y10">
        <f t="shared" si="5"/>
        <v>8</v>
      </c>
      <c r="AA10">
        <f t="shared" si="6"/>
        <v>610</v>
      </c>
      <c r="AB10">
        <f t="shared" si="7"/>
        <v>3.8376848065429382E-2</v>
      </c>
      <c r="AC10">
        <f t="shared" si="8"/>
        <v>657</v>
      </c>
      <c r="AD10">
        <f t="shared" si="9"/>
        <v>7.5</v>
      </c>
    </row>
    <row r="11" spans="1:30" x14ac:dyDescent="0.55000000000000004">
      <c r="A11" t="s">
        <v>29</v>
      </c>
      <c r="B11">
        <v>619</v>
      </c>
      <c r="C11">
        <v>0</v>
      </c>
      <c r="D11">
        <v>9</v>
      </c>
      <c r="E11">
        <v>37</v>
      </c>
      <c r="F11" t="s">
        <v>9</v>
      </c>
      <c r="G11">
        <v>1</v>
      </c>
      <c r="K11" s="1" cm="1">
        <f t="array" ref="K11:P11">--_xlfn.TEXTSPLIT(F11,{":","[","]",",",""""," "},,TRUE)</f>
        <v>23</v>
      </c>
      <c r="L11">
        <v>9</v>
      </c>
      <c r="M11">
        <v>3</v>
      </c>
      <c r="N11">
        <v>2</v>
      </c>
      <c r="O11">
        <v>0</v>
      </c>
      <c r="P11">
        <v>0</v>
      </c>
      <c r="R11">
        <f t="shared" si="0"/>
        <v>600</v>
      </c>
      <c r="S11" s="2">
        <f t="shared" si="2"/>
        <v>6.7643742953776773E-2</v>
      </c>
      <c r="T11">
        <f t="shared" si="3"/>
        <v>619</v>
      </c>
      <c r="V11">
        <f t="shared" si="1"/>
        <v>1085</v>
      </c>
      <c r="W11" s="2">
        <f t="shared" si="10"/>
        <v>6.8260459263919465E-2</v>
      </c>
      <c r="X11">
        <f t="shared" si="4"/>
        <v>1128</v>
      </c>
      <c r="Y11">
        <f t="shared" si="5"/>
        <v>10</v>
      </c>
      <c r="AA11">
        <f t="shared" si="6"/>
        <v>580</v>
      </c>
      <c r="AB11">
        <f t="shared" si="7"/>
        <v>3.6489462094998426E-2</v>
      </c>
      <c r="AC11">
        <f t="shared" si="8"/>
        <v>599</v>
      </c>
      <c r="AD11">
        <f t="shared" si="9"/>
        <v>10</v>
      </c>
    </row>
    <row r="12" spans="1:30" x14ac:dyDescent="0.55000000000000004">
      <c r="A12" t="s">
        <v>30</v>
      </c>
      <c r="B12">
        <v>582</v>
      </c>
      <c r="C12">
        <v>0</v>
      </c>
      <c r="D12">
        <v>12</v>
      </c>
      <c r="E12">
        <v>33</v>
      </c>
      <c r="F12" t="s">
        <v>10</v>
      </c>
      <c r="G12">
        <v>1</v>
      </c>
      <c r="K12" s="1" cm="1">
        <f t="array" ref="K12:P12">--_xlfn.TEXTSPLIT(F12,{":","[","]",",",""""," "},,TRUE)</f>
        <v>20</v>
      </c>
      <c r="L12">
        <v>7</v>
      </c>
      <c r="M12">
        <v>4</v>
      </c>
      <c r="N12">
        <v>2</v>
      </c>
      <c r="O12">
        <v>0</v>
      </c>
      <c r="P12">
        <v>0</v>
      </c>
      <c r="R12">
        <f t="shared" si="0"/>
        <v>560</v>
      </c>
      <c r="S12" s="2">
        <f t="shared" si="2"/>
        <v>6.3134160090191654E-2</v>
      </c>
      <c r="T12">
        <f t="shared" si="3"/>
        <v>582</v>
      </c>
      <c r="V12">
        <f t="shared" si="1"/>
        <v>1005</v>
      </c>
      <c r="W12" s="2">
        <f t="shared" si="10"/>
        <v>6.3227430009436925E-2</v>
      </c>
      <c r="X12">
        <f t="shared" si="4"/>
        <v>1054</v>
      </c>
      <c r="Y12">
        <f t="shared" si="5"/>
        <v>12</v>
      </c>
      <c r="AA12">
        <f t="shared" si="6"/>
        <v>540</v>
      </c>
      <c r="AB12">
        <f t="shared" si="7"/>
        <v>3.3972947467757156E-2</v>
      </c>
      <c r="AC12">
        <f t="shared" si="8"/>
        <v>562</v>
      </c>
      <c r="AD12">
        <f t="shared" si="9"/>
        <v>11</v>
      </c>
    </row>
    <row r="13" spans="1:30" x14ac:dyDescent="0.55000000000000004">
      <c r="A13" t="s">
        <v>31</v>
      </c>
      <c r="B13">
        <v>578</v>
      </c>
      <c r="C13">
        <v>0</v>
      </c>
      <c r="D13">
        <v>8</v>
      </c>
      <c r="E13">
        <v>31</v>
      </c>
      <c r="F13" t="s">
        <v>11</v>
      </c>
      <c r="G13">
        <v>3</v>
      </c>
      <c r="K13" s="1" cm="1">
        <f t="array" ref="K13:P13">--_xlfn.TEXTSPLIT(F13,{":","[","]",",",""""," "},,TRUE)</f>
        <v>20</v>
      </c>
      <c r="L13">
        <v>6</v>
      </c>
      <c r="M13">
        <v>3</v>
      </c>
      <c r="N13">
        <v>1</v>
      </c>
      <c r="O13">
        <v>1</v>
      </c>
      <c r="P13">
        <v>0</v>
      </c>
      <c r="R13">
        <f t="shared" si="0"/>
        <v>540</v>
      </c>
      <c r="S13" s="2">
        <f t="shared" si="2"/>
        <v>6.0879368658399095E-2</v>
      </c>
      <c r="T13">
        <f t="shared" si="3"/>
        <v>578</v>
      </c>
      <c r="V13">
        <f t="shared" si="1"/>
        <v>970</v>
      </c>
      <c r="W13" s="2">
        <f t="shared" si="10"/>
        <v>6.1025479710600815E-2</v>
      </c>
      <c r="X13">
        <f t="shared" si="4"/>
        <v>1061</v>
      </c>
      <c r="Y13">
        <f t="shared" si="5"/>
        <v>11</v>
      </c>
      <c r="AA13">
        <f t="shared" si="6"/>
        <v>500</v>
      </c>
      <c r="AB13">
        <f t="shared" si="7"/>
        <v>3.1456432840515886E-2</v>
      </c>
      <c r="AC13">
        <f t="shared" si="8"/>
        <v>538</v>
      </c>
      <c r="AD13">
        <f t="shared" si="9"/>
        <v>12</v>
      </c>
    </row>
    <row r="14" spans="1:30" x14ac:dyDescent="0.55000000000000004">
      <c r="A14" t="s">
        <v>32</v>
      </c>
      <c r="B14">
        <v>537</v>
      </c>
      <c r="C14">
        <v>0</v>
      </c>
      <c r="D14">
        <v>17</v>
      </c>
      <c r="E14">
        <v>34</v>
      </c>
      <c r="F14" t="s">
        <v>12</v>
      </c>
      <c r="G14">
        <v>2</v>
      </c>
      <c r="K14" s="1" cm="1">
        <f t="array" ref="K14:P14">--_xlfn.TEXTSPLIT(F14,{":","[","]",",",""""," "},,TRUE)</f>
        <v>23</v>
      </c>
      <c r="L14">
        <v>8</v>
      </c>
      <c r="M14">
        <v>2</v>
      </c>
      <c r="N14">
        <v>1</v>
      </c>
      <c r="O14">
        <v>0</v>
      </c>
      <c r="P14">
        <v>0</v>
      </c>
      <c r="R14">
        <f t="shared" si="0"/>
        <v>500</v>
      </c>
      <c r="S14" s="2">
        <f t="shared" si="2"/>
        <v>5.6369785794813977E-2</v>
      </c>
      <c r="T14">
        <f t="shared" si="3"/>
        <v>537</v>
      </c>
      <c r="V14">
        <f t="shared" si="1"/>
        <v>920</v>
      </c>
      <c r="W14" s="2">
        <f t="shared" si="10"/>
        <v>5.787983642654923E-2</v>
      </c>
      <c r="X14">
        <f t="shared" si="4"/>
        <v>1004</v>
      </c>
      <c r="Y14">
        <f t="shared" si="5"/>
        <v>13</v>
      </c>
      <c r="AA14">
        <f t="shared" si="6"/>
        <v>490</v>
      </c>
      <c r="AB14">
        <f t="shared" si="7"/>
        <v>3.0827304183705568E-2</v>
      </c>
      <c r="AC14">
        <f t="shared" si="8"/>
        <v>527</v>
      </c>
      <c r="AD14">
        <f t="shared" si="9"/>
        <v>13</v>
      </c>
    </row>
    <row r="16" spans="1:30" x14ac:dyDescent="0.55000000000000004">
      <c r="J16" t="s">
        <v>33</v>
      </c>
      <c r="K16">
        <v>10</v>
      </c>
      <c r="L16">
        <v>20</v>
      </c>
      <c r="M16">
        <f>K16 + L16</f>
        <v>30</v>
      </c>
      <c r="N16">
        <f t="shared" ref="N16:P16" si="11">L16 + M16</f>
        <v>50</v>
      </c>
      <c r="O16">
        <f t="shared" si="11"/>
        <v>80</v>
      </c>
      <c r="P16">
        <f t="shared" si="11"/>
        <v>130</v>
      </c>
      <c r="R16">
        <v>10</v>
      </c>
      <c r="S16">
        <v>20</v>
      </c>
      <c r="T16">
        <v>30</v>
      </c>
      <c r="U16">
        <v>40</v>
      </c>
      <c r="V16">
        <v>50</v>
      </c>
      <c r="W16">
        <v>60</v>
      </c>
    </row>
    <row r="17" spans="11:23" x14ac:dyDescent="0.55000000000000004">
      <c r="K17">
        <f t="shared" ref="K17:P17" si="12">K16 / $K$16</f>
        <v>1</v>
      </c>
      <c r="L17">
        <f t="shared" si="12"/>
        <v>2</v>
      </c>
      <c r="M17">
        <f t="shared" si="12"/>
        <v>3</v>
      </c>
      <c r="N17">
        <f t="shared" si="12"/>
        <v>5</v>
      </c>
      <c r="O17">
        <f t="shared" si="12"/>
        <v>8</v>
      </c>
      <c r="P17">
        <f t="shared" si="12"/>
        <v>13</v>
      </c>
    </row>
    <row r="18" spans="11:23" x14ac:dyDescent="0.55000000000000004">
      <c r="L18">
        <f>L16 / $L$16</f>
        <v>1</v>
      </c>
      <c r="M18">
        <f>M16 / $L$16</f>
        <v>1.5</v>
      </c>
      <c r="N18">
        <f>N16 / $L$16</f>
        <v>2.5</v>
      </c>
      <c r="O18">
        <f>O16 / $L$16</f>
        <v>4</v>
      </c>
      <c r="P18">
        <f>P16 / $L$16</f>
        <v>6.5</v>
      </c>
    </row>
    <row r="19" spans="11:23" x14ac:dyDescent="0.55000000000000004">
      <c r="M19">
        <f>M16 / $M$16</f>
        <v>1</v>
      </c>
      <c r="N19">
        <f>N16 / $M$16</f>
        <v>1.6666666666666667</v>
      </c>
      <c r="O19">
        <f>O16 / $M$16</f>
        <v>2.6666666666666665</v>
      </c>
      <c r="P19">
        <f>P16 / $M$16</f>
        <v>4.333333333333333</v>
      </c>
    </row>
    <row r="21" spans="11:23" x14ac:dyDescent="0.55000000000000004">
      <c r="K21">
        <v>20</v>
      </c>
      <c r="L21">
        <v>35</v>
      </c>
      <c r="M21">
        <f>K21 + L21 - 5</f>
        <v>50</v>
      </c>
      <c r="N21">
        <f>L21 + M21 - 5</f>
        <v>80</v>
      </c>
      <c r="O21">
        <f t="shared" ref="O21:P21" si="13">M21 + N21</f>
        <v>130</v>
      </c>
      <c r="P21">
        <f t="shared" si="13"/>
        <v>210</v>
      </c>
    </row>
    <row r="22" spans="11:23" x14ac:dyDescent="0.55000000000000004">
      <c r="K22">
        <f t="shared" ref="K22:P22" si="14">K21 / $K$21</f>
        <v>1</v>
      </c>
      <c r="L22">
        <f t="shared" si="14"/>
        <v>1.75</v>
      </c>
      <c r="M22">
        <f t="shared" si="14"/>
        <v>2.5</v>
      </c>
      <c r="N22">
        <f t="shared" si="14"/>
        <v>4</v>
      </c>
      <c r="O22">
        <f t="shared" si="14"/>
        <v>6.5</v>
      </c>
      <c r="P22">
        <f t="shared" si="14"/>
        <v>10.5</v>
      </c>
    </row>
    <row r="23" spans="11:23" x14ac:dyDescent="0.55000000000000004">
      <c r="L23">
        <f>L21 / $L$21</f>
        <v>1</v>
      </c>
      <c r="M23">
        <f>M21 / $L$21</f>
        <v>1.4285714285714286</v>
      </c>
      <c r="N23">
        <f>N21 / $L$21</f>
        <v>2.2857142857142856</v>
      </c>
      <c r="O23">
        <f>O21 / $L$21</f>
        <v>3.7142857142857144</v>
      </c>
      <c r="P23">
        <f>P21 / $L$21</f>
        <v>6</v>
      </c>
    </row>
    <row r="24" spans="11:23" x14ac:dyDescent="0.55000000000000004">
      <c r="M24">
        <f>M21 / $M$21</f>
        <v>1</v>
      </c>
      <c r="N24">
        <f>N21 / $M$21</f>
        <v>1.6</v>
      </c>
      <c r="O24">
        <f>O21 / $M$21</f>
        <v>2.6</v>
      </c>
      <c r="P24">
        <f>P21 / $M$21</f>
        <v>4.2</v>
      </c>
    </row>
    <row r="26" spans="11:23" x14ac:dyDescent="0.55000000000000004">
      <c r="K26">
        <f>K2 * K$16 / SUMPRODUCT($K$16:$P$16,_xlfn.ANCHORARRAY( $K2))</f>
        <v>0.24489795918367346</v>
      </c>
      <c r="L26">
        <f t="shared" ref="L26:P26" si="15">L2 * L$16 / SUMPRODUCT($K$16:$P$16,_xlfn.ANCHORARRAY( $K2))</f>
        <v>0.22448979591836735</v>
      </c>
      <c r="M26">
        <f t="shared" si="15"/>
        <v>0.21428571428571427</v>
      </c>
      <c r="N26">
        <f t="shared" si="15"/>
        <v>0.10204081632653061</v>
      </c>
      <c r="O26">
        <f t="shared" si="15"/>
        <v>8.1632653061224483E-2</v>
      </c>
      <c r="P26">
        <f t="shared" si="15"/>
        <v>0.1326530612244898</v>
      </c>
      <c r="R26">
        <f>K26 - K40</f>
        <v>-3.4985422740524796E-2</v>
      </c>
      <c r="S26">
        <f>L26 - L40</f>
        <v>0</v>
      </c>
      <c r="T26">
        <f t="shared" ref="T26:W26" si="16">M26 - M40</f>
        <v>1.0204081632653045E-2</v>
      </c>
      <c r="U26">
        <f t="shared" si="16"/>
        <v>8.7463556851311991E-3</v>
      </c>
      <c r="V26">
        <f t="shared" si="16"/>
        <v>5.8309037900874522E-3</v>
      </c>
      <c r="W26">
        <f t="shared" si="16"/>
        <v>1.0204081632653073E-2</v>
      </c>
    </row>
    <row r="27" spans="11:23" x14ac:dyDescent="0.55000000000000004">
      <c r="K27">
        <f t="shared" ref="K27:P27" si="17">K3 * K$16 / SUMPRODUCT($K$16:$P$16,_xlfn.ANCHORARRAY( $K3))</f>
        <v>0.3048780487804878</v>
      </c>
      <c r="L27">
        <f t="shared" si="17"/>
        <v>0.1951219512195122</v>
      </c>
      <c r="M27">
        <f t="shared" si="17"/>
        <v>0.21951219512195122</v>
      </c>
      <c r="N27">
        <f t="shared" si="17"/>
        <v>0.18292682926829268</v>
      </c>
      <c r="O27">
        <f t="shared" si="17"/>
        <v>9.7560975609756101E-2</v>
      </c>
      <c r="P27">
        <f t="shared" si="17"/>
        <v>0</v>
      </c>
      <c r="R27">
        <f t="shared" ref="R27:R38" si="18">K27 - K41</f>
        <v>-3.9949537426408777E-2</v>
      </c>
      <c r="S27">
        <f t="shared" ref="S27:S38" si="19">L27 - L41</f>
        <v>2.0185029436501356E-3</v>
      </c>
      <c r="T27">
        <f t="shared" ref="T27:T38" si="20">M27 - M41</f>
        <v>1.2615643397813292E-2</v>
      </c>
      <c r="U27">
        <f t="shared" ref="U27:U38" si="21">N27 - N41</f>
        <v>1.7409587888982336E-2</v>
      </c>
      <c r="V27">
        <f t="shared" ref="V27:V38" si="22">O27 - O41</f>
        <v>7.9058031959629987E-3</v>
      </c>
      <c r="W27">
        <f t="shared" ref="W27:W38" si="23">P27 - P41</f>
        <v>0</v>
      </c>
    </row>
    <row r="28" spans="11:23" x14ac:dyDescent="0.55000000000000004">
      <c r="K28">
        <f t="shared" ref="K28:P28" si="24">K4 * K$16 / SUMPRODUCT($K$16:$P$16,_xlfn.ANCHORARRAY( $K4))</f>
        <v>0.35064935064935066</v>
      </c>
      <c r="L28">
        <f t="shared" si="24"/>
        <v>0.25974025974025972</v>
      </c>
      <c r="M28">
        <f t="shared" si="24"/>
        <v>0.15584415584415584</v>
      </c>
      <c r="N28">
        <f t="shared" si="24"/>
        <v>0.12987012987012986</v>
      </c>
      <c r="O28">
        <f t="shared" si="24"/>
        <v>0.1038961038961039</v>
      </c>
      <c r="P28">
        <f t="shared" si="24"/>
        <v>0</v>
      </c>
      <c r="R28">
        <f t="shared" si="18"/>
        <v>-4.0654997176736318E-2</v>
      </c>
      <c r="S28">
        <f t="shared" si="19"/>
        <v>6.1170713344625982E-3</v>
      </c>
      <c r="T28">
        <f t="shared" si="20"/>
        <v>1.0916619612271777E-2</v>
      </c>
      <c r="U28">
        <f t="shared" si="21"/>
        <v>1.392810088462261E-2</v>
      </c>
      <c r="V28">
        <f t="shared" si="22"/>
        <v>9.6932053453792633E-3</v>
      </c>
      <c r="W28">
        <f t="shared" si="23"/>
        <v>0</v>
      </c>
    </row>
    <row r="29" spans="11:23" x14ac:dyDescent="0.55000000000000004">
      <c r="K29">
        <f t="shared" ref="K29:P29" si="25">K5 * K$16 / SUMPRODUCT($K$16:$P$16,_xlfn.ANCHORARRAY( $K5))</f>
        <v>0.29487179487179488</v>
      </c>
      <c r="L29">
        <f t="shared" si="25"/>
        <v>0.28205128205128205</v>
      </c>
      <c r="M29">
        <f t="shared" si="25"/>
        <v>0.23076923076923078</v>
      </c>
      <c r="N29">
        <f t="shared" si="25"/>
        <v>0.19230769230769232</v>
      </c>
      <c r="O29">
        <f t="shared" si="25"/>
        <v>0</v>
      </c>
      <c r="P29">
        <f t="shared" si="25"/>
        <v>0</v>
      </c>
      <c r="R29">
        <f t="shared" si="18"/>
        <v>-3.725816902712209E-2</v>
      </c>
      <c r="S29">
        <f t="shared" si="19"/>
        <v>4.072942701101534E-3</v>
      </c>
      <c r="T29">
        <f t="shared" si="20"/>
        <v>1.4162732574284936E-2</v>
      </c>
      <c r="U29">
        <f t="shared" si="21"/>
        <v>1.9022493751735647E-2</v>
      </c>
      <c r="V29">
        <f t="shared" si="22"/>
        <v>0</v>
      </c>
      <c r="W29">
        <f t="shared" si="23"/>
        <v>0</v>
      </c>
    </row>
    <row r="30" spans="11:23" x14ac:dyDescent="0.55000000000000004">
      <c r="K30">
        <f t="shared" ref="K30:P30" si="26">K6 * K$16 / SUMPRODUCT($K$16:$P$16,_xlfn.ANCHORARRAY( $K6))</f>
        <v>0.30136986301369861</v>
      </c>
      <c r="L30">
        <f t="shared" si="26"/>
        <v>0.24657534246575341</v>
      </c>
      <c r="M30">
        <f t="shared" si="26"/>
        <v>0.20547945205479451</v>
      </c>
      <c r="N30">
        <f t="shared" si="26"/>
        <v>0.13698630136986301</v>
      </c>
      <c r="O30">
        <f t="shared" si="26"/>
        <v>0.1095890410958904</v>
      </c>
      <c r="P30">
        <f t="shared" si="26"/>
        <v>0</v>
      </c>
      <c r="R30">
        <f t="shared" si="18"/>
        <v>-3.8398476754641142E-2</v>
      </c>
      <c r="S30">
        <f t="shared" si="19"/>
        <v>3.3320992225101542E-3</v>
      </c>
      <c r="T30">
        <f t="shared" si="20"/>
        <v>1.2429259004601456E-2</v>
      </c>
      <c r="U30">
        <f t="shared" si="21"/>
        <v>1.3434177817739451E-2</v>
      </c>
      <c r="V30">
        <f t="shared" si="22"/>
        <v>9.2029407097900251E-3</v>
      </c>
      <c r="W30">
        <f t="shared" si="23"/>
        <v>0</v>
      </c>
    </row>
    <row r="31" spans="11:23" x14ac:dyDescent="0.55000000000000004">
      <c r="K31">
        <f t="shared" ref="K31:P31" si="27">K7 * K$16 / SUMPRODUCT($K$16:$P$16,_xlfn.ANCHORARRAY( $K7))</f>
        <v>0.34285714285714286</v>
      </c>
      <c r="L31">
        <f t="shared" si="27"/>
        <v>0.2857142857142857</v>
      </c>
      <c r="M31">
        <f t="shared" si="27"/>
        <v>0.3</v>
      </c>
      <c r="N31">
        <f t="shared" si="27"/>
        <v>7.1428571428571425E-2</v>
      </c>
      <c r="O31">
        <f t="shared" si="27"/>
        <v>0</v>
      </c>
      <c r="P31">
        <f t="shared" si="27"/>
        <v>0</v>
      </c>
      <c r="R31">
        <f t="shared" si="18"/>
        <v>-3.8095238095238071E-2</v>
      </c>
      <c r="S31">
        <f t="shared" si="19"/>
        <v>7.9365079365079083E-3</v>
      </c>
      <c r="T31">
        <f t="shared" si="20"/>
        <v>2.2222222222222199E-2</v>
      </c>
      <c r="U31">
        <f t="shared" si="21"/>
        <v>7.9365079365079361E-3</v>
      </c>
      <c r="V31">
        <f t="shared" si="22"/>
        <v>0</v>
      </c>
      <c r="W31">
        <f t="shared" si="23"/>
        <v>0</v>
      </c>
    </row>
    <row r="32" spans="11:23" x14ac:dyDescent="0.55000000000000004">
      <c r="K32">
        <f t="shared" ref="K32:P32" si="28">K8 * K$16 / SUMPRODUCT($K$16:$P$16,_xlfn.ANCHORARRAY( $K8))</f>
        <v>0.40322580645161288</v>
      </c>
      <c r="L32">
        <f t="shared" si="28"/>
        <v>0.29032258064516131</v>
      </c>
      <c r="M32">
        <f t="shared" si="28"/>
        <v>0.14516129032258066</v>
      </c>
      <c r="N32">
        <f t="shared" si="28"/>
        <v>0.16129032258064516</v>
      </c>
      <c r="O32">
        <f t="shared" si="28"/>
        <v>0</v>
      </c>
      <c r="P32">
        <f t="shared" si="28"/>
        <v>0</v>
      </c>
      <c r="R32">
        <f t="shared" si="18"/>
        <v>-4.1218637992831542E-2</v>
      </c>
      <c r="S32">
        <f t="shared" si="19"/>
        <v>1.0322580645161283E-2</v>
      </c>
      <c r="T32">
        <f t="shared" si="20"/>
        <v>1.1827956989247324E-2</v>
      </c>
      <c r="U32">
        <f t="shared" si="21"/>
        <v>1.9068100358422935E-2</v>
      </c>
      <c r="V32">
        <f t="shared" si="22"/>
        <v>0</v>
      </c>
      <c r="W32">
        <f t="shared" si="23"/>
        <v>0</v>
      </c>
    </row>
    <row r="33" spans="11:23" x14ac:dyDescent="0.55000000000000004">
      <c r="K33">
        <f t="shared" ref="K33:P33" si="29">K9 * K$16 / SUMPRODUCT($K$16:$P$16,_xlfn.ANCHORARRAY( $K9))</f>
        <v>0.35384615384615387</v>
      </c>
      <c r="L33">
        <f t="shared" si="29"/>
        <v>0.33846153846153848</v>
      </c>
      <c r="M33">
        <f t="shared" si="29"/>
        <v>0.23076923076923078</v>
      </c>
      <c r="N33">
        <f t="shared" si="29"/>
        <v>7.6923076923076927E-2</v>
      </c>
      <c r="O33">
        <f t="shared" si="29"/>
        <v>0</v>
      </c>
      <c r="P33">
        <f t="shared" si="29"/>
        <v>0</v>
      </c>
      <c r="R33">
        <f t="shared" si="18"/>
        <v>-3.7643207855973804E-2</v>
      </c>
      <c r="S33">
        <f t="shared" si="19"/>
        <v>1.0801963993453401E-2</v>
      </c>
      <c r="T33">
        <f t="shared" si="20"/>
        <v>1.800327332242227E-2</v>
      </c>
      <c r="U33">
        <f t="shared" si="21"/>
        <v>8.8379705400982028E-3</v>
      </c>
      <c r="V33">
        <f t="shared" si="22"/>
        <v>0</v>
      </c>
      <c r="W33">
        <f t="shared" si="23"/>
        <v>0</v>
      </c>
    </row>
    <row r="34" spans="11:23" x14ac:dyDescent="0.55000000000000004">
      <c r="K34">
        <f t="shared" ref="K34:P34" si="30">K10 * K$16 / SUMPRODUCT($K$16:$P$16,_xlfn.ANCHORARRAY( $K10))</f>
        <v>0.40322580645161288</v>
      </c>
      <c r="L34">
        <f t="shared" si="30"/>
        <v>0.32258064516129031</v>
      </c>
      <c r="M34">
        <f t="shared" si="30"/>
        <v>0.19354838709677419</v>
      </c>
      <c r="N34">
        <f t="shared" si="30"/>
        <v>8.0645161290322578E-2</v>
      </c>
      <c r="O34">
        <f t="shared" si="30"/>
        <v>0</v>
      </c>
      <c r="P34">
        <f t="shared" si="30"/>
        <v>0</v>
      </c>
      <c r="R34">
        <f t="shared" si="18"/>
        <v>-3.9252069654581834E-2</v>
      </c>
      <c r="S34">
        <f t="shared" si="19"/>
        <v>1.2846131886954049E-2</v>
      </c>
      <c r="T34">
        <f t="shared" si="20"/>
        <v>1.6557236654296315E-2</v>
      </c>
      <c r="U34">
        <f t="shared" si="21"/>
        <v>9.8487011133314289E-3</v>
      </c>
      <c r="V34">
        <f t="shared" si="22"/>
        <v>0</v>
      </c>
      <c r="W34">
        <f t="shared" si="23"/>
        <v>0</v>
      </c>
    </row>
    <row r="35" spans="11:23" x14ac:dyDescent="0.55000000000000004">
      <c r="K35">
        <f t="shared" ref="K35:P35" si="31">K11 * K$16 / SUMPRODUCT($K$16:$P$16,_xlfn.ANCHORARRAY( $K11))</f>
        <v>0.38333333333333336</v>
      </c>
      <c r="L35">
        <f t="shared" si="31"/>
        <v>0.3</v>
      </c>
      <c r="M35">
        <f t="shared" si="31"/>
        <v>0.15</v>
      </c>
      <c r="N35">
        <f t="shared" si="31"/>
        <v>0.16666666666666666</v>
      </c>
      <c r="O35">
        <f t="shared" si="31"/>
        <v>0</v>
      </c>
      <c r="P35">
        <f t="shared" si="31"/>
        <v>0</v>
      </c>
      <c r="R35">
        <f t="shared" si="18"/>
        <v>-4.0629800307219632E-2</v>
      </c>
      <c r="S35">
        <f t="shared" si="19"/>
        <v>9.6774193548386789E-3</v>
      </c>
      <c r="T35">
        <f t="shared" si="20"/>
        <v>1.1751152073732701E-2</v>
      </c>
      <c r="U35">
        <f t="shared" si="21"/>
        <v>1.9201228878648224E-2</v>
      </c>
      <c r="V35">
        <f t="shared" si="22"/>
        <v>0</v>
      </c>
      <c r="W35">
        <f t="shared" si="23"/>
        <v>0</v>
      </c>
    </row>
    <row r="36" spans="11:23" x14ac:dyDescent="0.55000000000000004">
      <c r="K36">
        <f>K12 * K$16 / SUMPRODUCT($K$16:$P$16,_xlfn.ANCHORARRAY( $K12))</f>
        <v>0.35714285714285715</v>
      </c>
      <c r="L36">
        <f t="shared" ref="L36:P36" si="32">L12 * L$16 / SUMPRODUCT($K$16:$P$16,_xlfn.ANCHORARRAY( $K12))</f>
        <v>0.25</v>
      </c>
      <c r="M36">
        <f t="shared" si="32"/>
        <v>0.21428571428571427</v>
      </c>
      <c r="N36">
        <f t="shared" si="32"/>
        <v>0.17857142857142858</v>
      </c>
      <c r="O36">
        <f t="shared" si="32"/>
        <v>0</v>
      </c>
      <c r="P36">
        <f t="shared" si="32"/>
        <v>0</v>
      </c>
      <c r="R36">
        <f t="shared" si="18"/>
        <v>-4.0867093105899088E-2</v>
      </c>
      <c r="S36">
        <f t="shared" si="19"/>
        <v>6.2189054726368154E-3</v>
      </c>
      <c r="T36">
        <f t="shared" si="20"/>
        <v>1.5280739161336154E-2</v>
      </c>
      <c r="U36">
        <f t="shared" si="21"/>
        <v>1.9367448471926091E-2</v>
      </c>
      <c r="V36">
        <f t="shared" si="22"/>
        <v>0</v>
      </c>
      <c r="W36">
        <f t="shared" si="23"/>
        <v>0</v>
      </c>
    </row>
    <row r="37" spans="11:23" x14ac:dyDescent="0.55000000000000004">
      <c r="K37">
        <f t="shared" ref="K37:P37" si="33">K13 * K$16 / SUMPRODUCT($K$16:$P$16,_xlfn.ANCHORARRAY( $K13))</f>
        <v>0.37037037037037035</v>
      </c>
      <c r="L37">
        <f t="shared" si="33"/>
        <v>0.22222222222222221</v>
      </c>
      <c r="M37">
        <f t="shared" si="33"/>
        <v>0.16666666666666666</v>
      </c>
      <c r="N37">
        <f t="shared" si="33"/>
        <v>9.2592592592592587E-2</v>
      </c>
      <c r="O37">
        <f t="shared" si="33"/>
        <v>0.14814814814814814</v>
      </c>
      <c r="P37">
        <f t="shared" si="33"/>
        <v>0</v>
      </c>
      <c r="R37">
        <f t="shared" si="18"/>
        <v>-4.2000763650248185E-2</v>
      </c>
      <c r="S37">
        <f t="shared" si="19"/>
        <v>5.7273768613974596E-3</v>
      </c>
      <c r="T37">
        <f t="shared" si="20"/>
        <v>1.2027491408934693E-2</v>
      </c>
      <c r="U37">
        <f t="shared" si="21"/>
        <v>1.0118365788468878E-2</v>
      </c>
      <c r="V37">
        <f t="shared" si="22"/>
        <v>1.4127529591447113E-2</v>
      </c>
      <c r="W37">
        <f t="shared" si="23"/>
        <v>0</v>
      </c>
    </row>
    <row r="38" spans="11:23" x14ac:dyDescent="0.55000000000000004">
      <c r="K38">
        <f>K14 * K$16 / SUMPRODUCT($K$16:$P$16,_xlfn.ANCHORARRAY( $K14))</f>
        <v>0.46</v>
      </c>
      <c r="L38">
        <f t="shared" ref="L38:P38" si="34">L14 * L$16 / SUMPRODUCT($K$16:$P$16,_xlfn.ANCHORARRAY( $K14))</f>
        <v>0.32</v>
      </c>
      <c r="M38">
        <f t="shared" si="34"/>
        <v>0.12</v>
      </c>
      <c r="N38">
        <f t="shared" si="34"/>
        <v>0.1</v>
      </c>
      <c r="O38">
        <f t="shared" si="34"/>
        <v>0</v>
      </c>
      <c r="P38">
        <f t="shared" si="34"/>
        <v>0</v>
      </c>
      <c r="R38">
        <f t="shared" si="18"/>
        <v>-3.999999999999998E-2</v>
      </c>
      <c r="S38">
        <f t="shared" si="19"/>
        <v>1.5652173913043466E-2</v>
      </c>
      <c r="T38">
        <f t="shared" si="20"/>
        <v>1.1304347826086955E-2</v>
      </c>
      <c r="U38">
        <f t="shared" si="21"/>
        <v>1.3043478260869573E-2</v>
      </c>
      <c r="V38">
        <f t="shared" si="22"/>
        <v>0</v>
      </c>
      <c r="W38">
        <f t="shared" si="23"/>
        <v>0</v>
      </c>
    </row>
    <row r="40" spans="11:23" x14ac:dyDescent="0.55000000000000004">
      <c r="K40">
        <f>K2 * K$21 / SUMPRODUCT(_xlfn.ANCHORARRAY($K2), $K$21:$P$21)</f>
        <v>0.27988338192419826</v>
      </c>
      <c r="L40">
        <f t="shared" ref="L40:P40" si="35">L2 * L$21 / SUMPRODUCT(_xlfn.ANCHORARRAY($K2), $K$21:$P$21)</f>
        <v>0.22448979591836735</v>
      </c>
      <c r="M40">
        <f t="shared" si="35"/>
        <v>0.20408163265306123</v>
      </c>
      <c r="N40">
        <f t="shared" si="35"/>
        <v>9.3294460641399415E-2</v>
      </c>
      <c r="O40">
        <f t="shared" si="35"/>
        <v>7.5801749271137031E-2</v>
      </c>
      <c r="P40">
        <f t="shared" si="35"/>
        <v>0.12244897959183673</v>
      </c>
      <c r="R40" s="2">
        <f>AVERAGE(R26:R38)</f>
        <v>-3.9304108752878861E-2</v>
      </c>
      <c r="S40" s="2">
        <f t="shared" ref="S40:V40" si="36">AVERAGE(S26:S38)</f>
        <v>7.2864366358244221E-3</v>
      </c>
      <c r="T40" s="2">
        <f t="shared" si="36"/>
        <v>1.3792519683069472E-2</v>
      </c>
      <c r="U40" s="2">
        <f t="shared" si="36"/>
        <v>1.3843270567421887E-2</v>
      </c>
      <c r="V40" s="2">
        <f t="shared" si="36"/>
        <v>3.5969525102051425E-3</v>
      </c>
      <c r="W40" s="2">
        <f>AVERAGE(W26:W38)</f>
        <v>7.849293563579287E-4</v>
      </c>
    </row>
    <row r="41" spans="11:23" x14ac:dyDescent="0.55000000000000004">
      <c r="K41">
        <f t="shared" ref="K41:P41" si="37">K3 * K$21 / SUMPRODUCT(_xlfn.ANCHORARRAY($K3), $K$21:$P$21)</f>
        <v>0.34482758620689657</v>
      </c>
      <c r="L41">
        <f t="shared" si="37"/>
        <v>0.19310344827586207</v>
      </c>
      <c r="M41">
        <f t="shared" si="37"/>
        <v>0.20689655172413793</v>
      </c>
      <c r="N41">
        <f t="shared" si="37"/>
        <v>0.16551724137931034</v>
      </c>
      <c r="O41">
        <f t="shared" si="37"/>
        <v>8.9655172413793102E-2</v>
      </c>
      <c r="P41">
        <f t="shared" si="37"/>
        <v>0</v>
      </c>
    </row>
    <row r="42" spans="11:23" x14ac:dyDescent="0.55000000000000004">
      <c r="K42">
        <f t="shared" ref="K42:P42" si="38">K4 * K$21 / SUMPRODUCT(_xlfn.ANCHORARRAY($K4), $K$21:$P$21)</f>
        <v>0.39130434782608697</v>
      </c>
      <c r="L42">
        <f t="shared" si="38"/>
        <v>0.25362318840579712</v>
      </c>
      <c r="M42">
        <f t="shared" si="38"/>
        <v>0.14492753623188406</v>
      </c>
      <c r="N42">
        <f t="shared" si="38"/>
        <v>0.11594202898550725</v>
      </c>
      <c r="O42">
        <f t="shared" si="38"/>
        <v>9.420289855072464E-2</v>
      </c>
      <c r="P42">
        <f t="shared" si="38"/>
        <v>0</v>
      </c>
      <c r="R42" s="2">
        <v>-3.9304108752878861E-2</v>
      </c>
      <c r="S42" s="2">
        <v>7.2864366358244221E-3</v>
      </c>
      <c r="T42" s="2">
        <v>1.3792519683069472E-2</v>
      </c>
      <c r="U42" s="2">
        <v>1.3843270567421887E-2</v>
      </c>
      <c r="V42" s="2">
        <v>3.5969525102051425E-3</v>
      </c>
      <c r="W42" s="2">
        <v>7.849293563579287E-4</v>
      </c>
    </row>
    <row r="43" spans="11:23" x14ac:dyDescent="0.55000000000000004">
      <c r="K43">
        <f t="shared" ref="K43:P43" si="39">K5 * K$21 / SUMPRODUCT(_xlfn.ANCHORARRAY($K5), $K$21:$P$21)</f>
        <v>0.33212996389891697</v>
      </c>
      <c r="L43">
        <f t="shared" si="39"/>
        <v>0.27797833935018051</v>
      </c>
      <c r="M43">
        <f t="shared" si="39"/>
        <v>0.21660649819494585</v>
      </c>
      <c r="N43">
        <f t="shared" si="39"/>
        <v>0.17328519855595667</v>
      </c>
      <c r="O43">
        <f t="shared" si="39"/>
        <v>0</v>
      </c>
      <c r="P43">
        <f t="shared" si="39"/>
        <v>0</v>
      </c>
      <c r="R43" s="2">
        <v>-5.4865400641962707E-2</v>
      </c>
      <c r="S43" s="2">
        <v>3.5992797136096405E-2</v>
      </c>
      <c r="T43" s="2">
        <v>6.6616254272271434E-3</v>
      </c>
      <c r="U43" s="2">
        <v>9.4094479921611306E-3</v>
      </c>
      <c r="V43" s="2">
        <v>2.3286810766238453E-3</v>
      </c>
      <c r="W43" s="2">
        <v>4.7284900985417473E-4</v>
      </c>
    </row>
    <row r="44" spans="11:23" x14ac:dyDescent="0.55000000000000004">
      <c r="K44">
        <f t="shared" ref="K44:P44" si="40">K6 * K$21 / SUMPRODUCT(_xlfn.ANCHORARRAY($K6), $K$21:$P$21)</f>
        <v>0.33976833976833976</v>
      </c>
      <c r="L44">
        <f t="shared" si="40"/>
        <v>0.24324324324324326</v>
      </c>
      <c r="M44">
        <f t="shared" si="40"/>
        <v>0.19305019305019305</v>
      </c>
      <c r="N44">
        <f t="shared" si="40"/>
        <v>0.12355212355212356</v>
      </c>
      <c r="O44">
        <f t="shared" si="40"/>
        <v>0.10038610038610038</v>
      </c>
      <c r="P44">
        <f t="shared" si="40"/>
        <v>0</v>
      </c>
    </row>
    <row r="45" spans="11:23" x14ac:dyDescent="0.55000000000000004">
      <c r="K45">
        <f t="shared" ref="K45:P45" si="41">K7 * K$21 / SUMPRODUCT(_xlfn.ANCHORARRAY($K7), $K$21:$P$21)</f>
        <v>0.38095238095238093</v>
      </c>
      <c r="L45">
        <f t="shared" si="41"/>
        <v>0.27777777777777779</v>
      </c>
      <c r="M45">
        <f t="shared" si="41"/>
        <v>0.27777777777777779</v>
      </c>
      <c r="N45">
        <f t="shared" si="41"/>
        <v>6.3492063492063489E-2</v>
      </c>
      <c r="O45">
        <f t="shared" si="41"/>
        <v>0</v>
      </c>
      <c r="P45">
        <f t="shared" si="41"/>
        <v>0</v>
      </c>
      <c r="R45" t="s">
        <v>39</v>
      </c>
    </row>
    <row r="46" spans="11:23" x14ac:dyDescent="0.55000000000000004">
      <c r="K46">
        <f t="shared" ref="K46:P46" si="42">K8 * K$21 / SUMPRODUCT(_xlfn.ANCHORARRAY($K8), $K$21:$P$21)</f>
        <v>0.44444444444444442</v>
      </c>
      <c r="L46">
        <f t="shared" si="42"/>
        <v>0.28000000000000003</v>
      </c>
      <c r="M46">
        <f t="shared" si="42"/>
        <v>0.13333333333333333</v>
      </c>
      <c r="N46">
        <f t="shared" si="42"/>
        <v>0.14222222222222222</v>
      </c>
      <c r="O46">
        <f t="shared" si="42"/>
        <v>0</v>
      </c>
      <c r="P46">
        <f t="shared" si="42"/>
        <v>0</v>
      </c>
      <c r="R46">
        <v>20</v>
      </c>
      <c r="S46">
        <v>35</v>
      </c>
      <c r="T46">
        <f>R46 + S46 - 5</f>
        <v>50</v>
      </c>
      <c r="U46">
        <f>S46 + T46 - 5</f>
        <v>80</v>
      </c>
      <c r="V46">
        <f t="shared" ref="V46" si="43">T46 + U46</f>
        <v>130</v>
      </c>
      <c r="W46">
        <f t="shared" ref="W46" si="44">U46 + V46</f>
        <v>210</v>
      </c>
    </row>
    <row r="47" spans="11:23" x14ac:dyDescent="0.55000000000000004">
      <c r="K47">
        <f t="shared" ref="K47:P47" si="45">K9 * K$21 / SUMPRODUCT(_xlfn.ANCHORARRAY($K9), $K$21:$P$21)</f>
        <v>0.39148936170212767</v>
      </c>
      <c r="L47">
        <f t="shared" si="45"/>
        <v>0.32765957446808508</v>
      </c>
      <c r="M47">
        <f t="shared" si="45"/>
        <v>0.21276595744680851</v>
      </c>
      <c r="N47">
        <f t="shared" si="45"/>
        <v>6.8085106382978725E-2</v>
      </c>
      <c r="O47">
        <f t="shared" si="45"/>
        <v>0</v>
      </c>
      <c r="P47">
        <f t="shared" si="45"/>
        <v>0</v>
      </c>
      <c r="R47" t="s">
        <v>40</v>
      </c>
    </row>
    <row r="48" spans="11:23" x14ac:dyDescent="0.55000000000000004">
      <c r="K48">
        <f t="shared" ref="K48:P48" si="46">K10 * K$21 / SUMPRODUCT(_xlfn.ANCHORARRAY($K10), $K$21:$P$21)</f>
        <v>0.44247787610619471</v>
      </c>
      <c r="L48">
        <f t="shared" si="46"/>
        <v>0.30973451327433627</v>
      </c>
      <c r="M48">
        <f t="shared" si="46"/>
        <v>0.17699115044247787</v>
      </c>
      <c r="N48">
        <f t="shared" si="46"/>
        <v>7.0796460176991149E-2</v>
      </c>
      <c r="O48">
        <f t="shared" si="46"/>
        <v>0</v>
      </c>
      <c r="P48">
        <f t="shared" si="46"/>
        <v>0</v>
      </c>
    </row>
    <row r="49" spans="11:16" x14ac:dyDescent="0.55000000000000004">
      <c r="K49">
        <f t="shared" ref="K49:P49" si="47">K11 * K$21 / SUMPRODUCT(_xlfn.ANCHORARRAY($K11), $K$21:$P$21)</f>
        <v>0.42396313364055299</v>
      </c>
      <c r="L49">
        <f t="shared" si="47"/>
        <v>0.29032258064516131</v>
      </c>
      <c r="M49">
        <f t="shared" si="47"/>
        <v>0.13824884792626729</v>
      </c>
      <c r="N49">
        <f t="shared" si="47"/>
        <v>0.14746543778801843</v>
      </c>
      <c r="O49">
        <f t="shared" si="47"/>
        <v>0</v>
      </c>
      <c r="P49">
        <f t="shared" si="47"/>
        <v>0</v>
      </c>
    </row>
    <row r="50" spans="11:16" x14ac:dyDescent="0.55000000000000004">
      <c r="K50">
        <f t="shared" ref="K50:P50" si="48">K12 * K$21 / SUMPRODUCT(_xlfn.ANCHORARRAY($K12), $K$21:$P$21)</f>
        <v>0.39800995024875624</v>
      </c>
      <c r="L50">
        <f t="shared" si="48"/>
        <v>0.24378109452736318</v>
      </c>
      <c r="M50">
        <f t="shared" si="48"/>
        <v>0.19900497512437812</v>
      </c>
      <c r="N50">
        <f t="shared" si="48"/>
        <v>0.15920398009950248</v>
      </c>
      <c r="O50">
        <f t="shared" si="48"/>
        <v>0</v>
      </c>
      <c r="P50">
        <f t="shared" si="48"/>
        <v>0</v>
      </c>
    </row>
    <row r="51" spans="11:16" x14ac:dyDescent="0.55000000000000004">
      <c r="K51">
        <f t="shared" ref="K51:P51" si="49">K13 * K$21 / SUMPRODUCT(_xlfn.ANCHORARRAY($K13), $K$21:$P$21)</f>
        <v>0.41237113402061853</v>
      </c>
      <c r="L51">
        <f t="shared" si="49"/>
        <v>0.21649484536082475</v>
      </c>
      <c r="M51">
        <f t="shared" si="49"/>
        <v>0.15463917525773196</v>
      </c>
      <c r="N51">
        <f t="shared" si="49"/>
        <v>8.247422680412371E-2</v>
      </c>
      <c r="O51">
        <f t="shared" si="49"/>
        <v>0.13402061855670103</v>
      </c>
      <c r="P51">
        <f t="shared" si="49"/>
        <v>0</v>
      </c>
    </row>
    <row r="52" spans="11:16" x14ac:dyDescent="0.55000000000000004">
      <c r="K52">
        <f t="shared" ref="K52:P52" si="50">K14 * K$21 / SUMPRODUCT(_xlfn.ANCHORARRAY($K14), $K$21:$P$21)</f>
        <v>0.5</v>
      </c>
      <c r="L52">
        <f t="shared" si="50"/>
        <v>0.30434782608695654</v>
      </c>
      <c r="M52">
        <f t="shared" si="50"/>
        <v>0.10869565217391304</v>
      </c>
      <c r="N52">
        <f t="shared" si="50"/>
        <v>8.6956521739130432E-2</v>
      </c>
      <c r="O52">
        <f t="shared" si="50"/>
        <v>0</v>
      </c>
      <c r="P52">
        <f t="shared" si="5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JACKattackW wilkins</dc:creator>
  <cp:lastModifiedBy>JACKattackW wilkins</cp:lastModifiedBy>
  <dcterms:created xsi:type="dcterms:W3CDTF">2025-12-02T01:19:44Z</dcterms:created>
  <dcterms:modified xsi:type="dcterms:W3CDTF">2025-12-19T22:14:15Z</dcterms:modified>
</cp:coreProperties>
</file>