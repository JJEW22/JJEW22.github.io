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258977402b9a53/Desktop/COOP/futureMath/personalWebsite/my-website/static/pickem/"/>
    </mc:Choice>
  </mc:AlternateContent>
  <xr:revisionPtr revIDLastSave="85" documentId="8_{9102DCFE-94AB-4A09-B1DB-90D76ED8D24D}" xr6:coauthVersionLast="47" xr6:coauthVersionMax="47" xr10:uidLastSave="{34DBE244-6434-4754-9E45-52011663193A}"/>
  <bookViews>
    <workbookView xWindow="-96" yWindow="-96" windowWidth="23232" windowHeight="12432" xr2:uid="{962C2D02-8A7A-4D89-8F01-571C8C9F7D75}"/>
  </bookViews>
  <sheets>
    <sheet name="Pickem no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" i="1" l="1"/>
  <c r="K18" i="1"/>
  <c r="K17" i="1"/>
  <c r="N5" i="1"/>
  <c r="M5" i="1"/>
  <c r="N6" i="1"/>
  <c r="M6" i="1"/>
  <c r="K11" i="1" l="1"/>
  <c r="K7" i="1"/>
  <c r="C4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" i="1"/>
  <c r="K8" i="1"/>
  <c r="J8" i="1"/>
  <c r="J7" i="1"/>
  <c r="Q2" i="1"/>
  <c r="O2" i="1"/>
  <c r="P2" i="1"/>
  <c r="K5" i="1"/>
  <c r="N2" i="1"/>
  <c r="J2" i="1"/>
  <c r="J11" i="1" l="1"/>
  <c r="K10" i="1"/>
  <c r="K13" i="1" s="1"/>
  <c r="O10" i="1" s="1"/>
  <c r="J10" i="1"/>
  <c r="J13" i="1" s="1"/>
  <c r="Q10" i="1" l="1"/>
  <c r="P10" i="1"/>
  <c r="O11" i="1" l="1"/>
  <c r="P11" i="1"/>
  <c r="Q11" i="1"/>
  <c r="F2" i="1"/>
  <c r="F3" i="1" s="1"/>
</calcChain>
</file>

<file path=xl/sharedStrings.xml><?xml version="1.0" encoding="utf-8"?>
<sst xmlns="http://schemas.openxmlformats.org/spreadsheetml/2006/main" count="33" uniqueCount="32">
  <si>
    <t>non - mt ratio</t>
  </si>
  <si>
    <t>my team ratio</t>
  </si>
  <si>
    <t>base rate</t>
  </si>
  <si>
    <t>bonus rate</t>
  </si>
  <si>
    <t>games</t>
  </si>
  <si>
    <t>week</t>
  </si>
  <si>
    <t>points</t>
  </si>
  <si>
    <t>regular games</t>
  </si>
  <si>
    <t>bonus per week</t>
  </si>
  <si>
    <t>bonus games</t>
  </si>
  <si>
    <t>team 1</t>
  </si>
  <si>
    <t>tie</t>
  </si>
  <si>
    <t>team 2</t>
  </si>
  <si>
    <t>my team</t>
  </si>
  <si>
    <t>my team per week</t>
  </si>
  <si>
    <t>EV 1</t>
  </si>
  <si>
    <t>EV 2</t>
  </si>
  <si>
    <t>base</t>
  </si>
  <si>
    <t>multiplier 1</t>
  </si>
  <si>
    <t>multiplier 2</t>
  </si>
  <si>
    <t>num teams weighted</t>
  </si>
  <si>
    <t>total</t>
  </si>
  <si>
    <t>totals</t>
  </si>
  <si>
    <t>favored bias</t>
  </si>
  <si>
    <t>weighted 1</t>
  </si>
  <si>
    <t>odds</t>
  </si>
  <si>
    <t>ratio facto</t>
  </si>
  <si>
    <t>weight</t>
  </si>
  <si>
    <t>goal expected per</t>
  </si>
  <si>
    <t>goal % total</t>
  </si>
  <si>
    <t>goal ratio</t>
  </si>
  <si>
    <t>expected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</si>
</sst>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0.00000%"/>
    <numFmt numFmtId="166" formatCode="0.000%"/>
    <numFmt numFmtId="167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CC6B-CA44-4DDD-A782-D5A39371E978}">
  <dimension ref="A1:T42"/>
  <sheetViews>
    <sheetView tabSelected="1" topLeftCell="C1" workbookViewId="0">
      <selection activeCell="N16" sqref="N16"/>
    </sheetView>
  </sheetViews>
  <sheetFormatPr defaultRowHeight="14.4" x14ac:dyDescent="0.55000000000000004"/>
  <cols>
    <col min="3" max="3" width="16.9453125" bestFit="1" customWidth="1"/>
    <col min="5" max="5" width="9.7890625" bestFit="1" customWidth="1"/>
    <col min="6" max="6" width="14.47265625" bestFit="1" customWidth="1"/>
    <col min="9" max="9" width="11.26171875" bestFit="1" customWidth="1"/>
    <col min="10" max="10" width="11.68359375" bestFit="1" customWidth="1"/>
    <col min="11" max="11" width="11.734375" bestFit="1" customWidth="1"/>
    <col min="13" max="13" width="13.1015625" bestFit="1" customWidth="1"/>
    <col min="15" max="15" width="11.05078125" bestFit="1" customWidth="1"/>
    <col min="16" max="16" width="11.62890625" bestFit="1" customWidth="1"/>
    <col min="17" max="17" width="11.68359375" bestFit="1" customWidth="1"/>
    <col min="19" max="19" width="12.89453125" bestFit="1" customWidth="1"/>
  </cols>
  <sheetData>
    <row r="1" spans="1:20" x14ac:dyDescent="0.55000000000000004">
      <c r="A1" t="s">
        <v>5</v>
      </c>
      <c r="B1" t="s">
        <v>6</v>
      </c>
      <c r="C1" t="s">
        <v>20</v>
      </c>
      <c r="E1" t="s">
        <v>29</v>
      </c>
      <c r="F1" t="s">
        <v>28</v>
      </c>
      <c r="I1" t="s">
        <v>1</v>
      </c>
      <c r="J1" t="s">
        <v>0</v>
      </c>
      <c r="L1" t="s">
        <v>2</v>
      </c>
      <c r="M1" t="s">
        <v>3</v>
      </c>
      <c r="N1" t="s">
        <v>4</v>
      </c>
      <c r="O1" t="s">
        <v>13</v>
      </c>
      <c r="P1" t="s">
        <v>9</v>
      </c>
      <c r="Q1" t="s">
        <v>7</v>
      </c>
      <c r="S1" t="s">
        <v>8</v>
      </c>
      <c r="T1" t="s">
        <v>14</v>
      </c>
    </row>
    <row r="2" spans="1:20" x14ac:dyDescent="0.55000000000000004">
      <c r="A2">
        <v>1</v>
      </c>
      <c r="B2">
        <v>1</v>
      </c>
      <c r="C2">
        <f>B2 * 20</f>
        <v>20</v>
      </c>
      <c r="E2" s="7">
        <v>0.25</v>
      </c>
      <c r="F2">
        <f>N10 * (E2) / (1 - E2)</f>
        <v>1864.2352941176468</v>
      </c>
      <c r="I2">
        <v>0.5</v>
      </c>
      <c r="J2">
        <f>1/3</f>
        <v>0.33333333333333331</v>
      </c>
      <c r="L2">
        <v>15</v>
      </c>
      <c r="M2">
        <v>20</v>
      </c>
      <c r="N2">
        <f>38 * 20 / 2</f>
        <v>380</v>
      </c>
      <c r="O2">
        <f>T2 * 38</f>
        <v>38</v>
      </c>
      <c r="P2">
        <f>S2 * 38</f>
        <v>38</v>
      </c>
      <c r="Q2">
        <f>N2 - P2 - O2</f>
        <v>304</v>
      </c>
      <c r="S2">
        <v>1</v>
      </c>
      <c r="T2">
        <v>1</v>
      </c>
    </row>
    <row r="3" spans="1:20" x14ac:dyDescent="0.55000000000000004">
      <c r="A3">
        <v>2</v>
      </c>
      <c r="B3">
        <v>2</v>
      </c>
      <c r="C3">
        <f t="shared" ref="C3:C39" si="0">B3 * 20</f>
        <v>40</v>
      </c>
      <c r="E3" t="s">
        <v>30</v>
      </c>
      <c r="F3">
        <f>F2 / C42</f>
        <v>0.12579185520361991</v>
      </c>
    </row>
    <row r="4" spans="1:20" x14ac:dyDescent="0.55000000000000004">
      <c r="A4">
        <v>3</v>
      </c>
      <c r="B4">
        <v>3</v>
      </c>
      <c r="C4">
        <f t="shared" si="0"/>
        <v>60</v>
      </c>
      <c r="I4" t="s">
        <v>10</v>
      </c>
      <c r="J4" t="s">
        <v>11</v>
      </c>
      <c r="K4" t="s">
        <v>12</v>
      </c>
      <c r="M4">
        <v>1</v>
      </c>
      <c r="N4">
        <v>2</v>
      </c>
    </row>
    <row r="5" spans="1:20" x14ac:dyDescent="0.55000000000000004">
      <c r="A5">
        <v>4</v>
      </c>
      <c r="B5">
        <v>4</v>
      </c>
      <c r="C5">
        <f t="shared" si="0"/>
        <v>80</v>
      </c>
      <c r="I5" s="1">
        <v>0.46</v>
      </c>
      <c r="J5" s="1">
        <v>0.27</v>
      </c>
      <c r="K5" s="2">
        <f>1 - I5 - J5</f>
        <v>0.27</v>
      </c>
      <c r="L5" t="s">
        <v>26</v>
      </c>
      <c r="M5" s="5">
        <f>1/M6</f>
        <v>1.680672268907563</v>
      </c>
      <c r="N5" s="5">
        <f>1/N6</f>
        <v>2.4691358024691357</v>
      </c>
    </row>
    <row r="6" spans="1:20" x14ac:dyDescent="0.55000000000000004">
      <c r="A6">
        <v>5</v>
      </c>
      <c r="B6">
        <v>5</v>
      </c>
      <c r="C6">
        <f t="shared" si="0"/>
        <v>100</v>
      </c>
      <c r="J6" t="s">
        <v>17</v>
      </c>
      <c r="K6" t="s">
        <v>13</v>
      </c>
      <c r="L6" t="s">
        <v>25</v>
      </c>
      <c r="M6" s="6">
        <f>I5 + J5 * I2</f>
        <v>0.59499999999999997</v>
      </c>
      <c r="N6" s="6">
        <f>K5 + J5 * I2</f>
        <v>0.40500000000000003</v>
      </c>
    </row>
    <row r="7" spans="1:20" x14ac:dyDescent="0.55000000000000004">
      <c r="A7">
        <v>6</v>
      </c>
      <c r="B7">
        <v>6</v>
      </c>
      <c r="C7">
        <f t="shared" si="0"/>
        <v>120</v>
      </c>
      <c r="I7" t="s">
        <v>18</v>
      </c>
      <c r="J7" s="3">
        <f>(I5 + J5 * J2)</f>
        <v>0.55000000000000004</v>
      </c>
      <c r="K7" s="3">
        <f>(I5 + J5 * I2)</f>
        <v>0.59499999999999997</v>
      </c>
    </row>
    <row r="8" spans="1:20" x14ac:dyDescent="0.55000000000000004">
      <c r="A8">
        <v>7</v>
      </c>
      <c r="B8">
        <v>7</v>
      </c>
      <c r="C8">
        <f t="shared" si="0"/>
        <v>140</v>
      </c>
      <c r="I8" t="s">
        <v>19</v>
      </c>
      <c r="J8" s="4">
        <f>(K5 + J5 * J2)</f>
        <v>0.36</v>
      </c>
      <c r="K8" s="4">
        <f>(K5 + J5 * I2)</f>
        <v>0.40500000000000003</v>
      </c>
    </row>
    <row r="9" spans="1:20" x14ac:dyDescent="0.55000000000000004">
      <c r="A9">
        <v>8</v>
      </c>
      <c r="B9">
        <v>8</v>
      </c>
      <c r="C9">
        <f t="shared" si="0"/>
        <v>160</v>
      </c>
      <c r="M9" t="s">
        <v>22</v>
      </c>
    </row>
    <row r="10" spans="1:20" x14ac:dyDescent="0.55000000000000004">
      <c r="A10">
        <v>9</v>
      </c>
      <c r="B10">
        <v>9</v>
      </c>
      <c r="C10">
        <f t="shared" si="0"/>
        <v>180</v>
      </c>
      <c r="I10" t="s">
        <v>15</v>
      </c>
      <c r="J10">
        <f>J7 * $M5</f>
        <v>0.92436974789915971</v>
      </c>
      <c r="K10">
        <f>K7 * $M5</f>
        <v>1</v>
      </c>
      <c r="M10" t="s">
        <v>31</v>
      </c>
      <c r="N10">
        <f>SUM(O10:Q10)</f>
        <v>5592.7058823529405</v>
      </c>
      <c r="O10">
        <f>K13 * M2 * O2</f>
        <v>760</v>
      </c>
      <c r="P10">
        <f>J13 * M2 * P2</f>
        <v>690.38655462184875</v>
      </c>
      <c r="Q10">
        <f>J13 * L2 * Q2</f>
        <v>4142.319327731092</v>
      </c>
    </row>
    <row r="11" spans="1:20" x14ac:dyDescent="0.55000000000000004">
      <c r="A11">
        <v>10</v>
      </c>
      <c r="B11">
        <v>10</v>
      </c>
      <c r="C11">
        <f t="shared" si="0"/>
        <v>200</v>
      </c>
      <c r="I11" t="s">
        <v>16</v>
      </c>
      <c r="J11">
        <f>J8 * $N5</f>
        <v>0.88888888888888884</v>
      </c>
      <c r="K11">
        <f>K8 * $N5</f>
        <v>1</v>
      </c>
      <c r="M11" t="s">
        <v>27</v>
      </c>
      <c r="O11">
        <f>O10 / SUM($O$10:$Q$10)</f>
        <v>0.13589128697042369</v>
      </c>
      <c r="P11">
        <f t="shared" ref="P11:Q11" si="1">P10 / SUM($O$10:$Q$10)</f>
        <v>0.12344410186136806</v>
      </c>
      <c r="Q11">
        <f t="shared" si="1"/>
        <v>0.74066461116820825</v>
      </c>
    </row>
    <row r="12" spans="1:20" x14ac:dyDescent="0.55000000000000004">
      <c r="A12">
        <v>11</v>
      </c>
      <c r="B12">
        <v>11</v>
      </c>
      <c r="C12">
        <f t="shared" si="0"/>
        <v>220</v>
      </c>
      <c r="G12" t="s">
        <v>23</v>
      </c>
    </row>
    <row r="13" spans="1:20" x14ac:dyDescent="0.55000000000000004">
      <c r="A13">
        <v>12</v>
      </c>
      <c r="B13">
        <v>12</v>
      </c>
      <c r="C13">
        <f t="shared" si="0"/>
        <v>240</v>
      </c>
      <c r="G13">
        <v>0.55000000000000004</v>
      </c>
      <c r="I13" t="s">
        <v>24</v>
      </c>
      <c r="J13">
        <f>J10 * G13 + (1 - G13) * J11</f>
        <v>0.90840336134453781</v>
      </c>
      <c r="K13">
        <f>K10 * G13 + (1 - G13) * K11</f>
        <v>1</v>
      </c>
    </row>
    <row r="14" spans="1:20" x14ac:dyDescent="0.55000000000000004">
      <c r="A14">
        <v>13</v>
      </c>
      <c r="B14">
        <v>13</v>
      </c>
      <c r="C14">
        <f t="shared" si="0"/>
        <v>260</v>
      </c>
    </row>
    <row r="15" spans="1:20" x14ac:dyDescent="0.55000000000000004">
      <c r="A15">
        <v>14</v>
      </c>
      <c r="B15">
        <v>14</v>
      </c>
      <c r="C15">
        <f t="shared" si="0"/>
        <v>280</v>
      </c>
    </row>
    <row r="16" spans="1:20" x14ac:dyDescent="0.55000000000000004">
      <c r="A16">
        <v>15</v>
      </c>
      <c r="B16">
        <v>15</v>
      </c>
      <c r="C16">
        <f t="shared" si="0"/>
        <v>300</v>
      </c>
    </row>
    <row r="17" spans="1:11" x14ac:dyDescent="0.55000000000000004">
      <c r="A17">
        <v>16</v>
      </c>
      <c r="B17">
        <v>16</v>
      </c>
      <c r="C17">
        <f t="shared" si="0"/>
        <v>320</v>
      </c>
      <c r="K17">
        <f>J10 * L2</f>
        <v>13.865546218487395</v>
      </c>
    </row>
    <row r="18" spans="1:11" x14ac:dyDescent="0.55000000000000004">
      <c r="A18">
        <v>17</v>
      </c>
      <c r="B18">
        <v>17</v>
      </c>
      <c r="C18">
        <f t="shared" si="0"/>
        <v>340</v>
      </c>
      <c r="K18">
        <f>J10 * L2</f>
        <v>13.865546218487395</v>
      </c>
    </row>
    <row r="19" spans="1:11" x14ac:dyDescent="0.55000000000000004">
      <c r="A19">
        <v>18</v>
      </c>
      <c r="B19">
        <v>18</v>
      </c>
      <c r="C19">
        <f t="shared" si="0"/>
        <v>360</v>
      </c>
    </row>
    <row r="20" spans="1:11" x14ac:dyDescent="0.55000000000000004">
      <c r="A20">
        <v>19</v>
      </c>
      <c r="B20">
        <v>19</v>
      </c>
      <c r="C20">
        <f t="shared" si="0"/>
        <v>380</v>
      </c>
    </row>
    <row r="21" spans="1:11" x14ac:dyDescent="0.55000000000000004">
      <c r="A21">
        <v>20</v>
      </c>
      <c r="B21">
        <v>20</v>
      </c>
      <c r="C21">
        <f t="shared" si="0"/>
        <v>400</v>
      </c>
    </row>
    <row r="22" spans="1:11" x14ac:dyDescent="0.55000000000000004">
      <c r="A22">
        <v>21</v>
      </c>
      <c r="B22">
        <v>21</v>
      </c>
      <c r="C22">
        <f t="shared" si="0"/>
        <v>420</v>
      </c>
    </row>
    <row r="23" spans="1:11" x14ac:dyDescent="0.55000000000000004">
      <c r="A23">
        <v>22</v>
      </c>
      <c r="B23">
        <v>22</v>
      </c>
      <c r="C23">
        <f t="shared" si="0"/>
        <v>440</v>
      </c>
    </row>
    <row r="24" spans="1:11" x14ac:dyDescent="0.55000000000000004">
      <c r="A24">
        <v>23</v>
      </c>
      <c r="B24">
        <v>23</v>
      </c>
      <c r="C24">
        <f t="shared" si="0"/>
        <v>460</v>
      </c>
    </row>
    <row r="25" spans="1:11" x14ac:dyDescent="0.55000000000000004">
      <c r="A25">
        <v>24</v>
      </c>
      <c r="B25">
        <v>24</v>
      </c>
      <c r="C25">
        <f t="shared" si="0"/>
        <v>480</v>
      </c>
    </row>
    <row r="26" spans="1:11" x14ac:dyDescent="0.55000000000000004">
      <c r="A26">
        <v>25</v>
      </c>
      <c r="B26">
        <v>25</v>
      </c>
      <c r="C26">
        <f t="shared" si="0"/>
        <v>500</v>
      </c>
    </row>
    <row r="27" spans="1:11" x14ac:dyDescent="0.55000000000000004">
      <c r="A27">
        <v>26</v>
      </c>
      <c r="B27">
        <v>26</v>
      </c>
      <c r="C27">
        <f t="shared" si="0"/>
        <v>520</v>
      </c>
    </row>
    <row r="28" spans="1:11" x14ac:dyDescent="0.55000000000000004">
      <c r="A28">
        <v>27</v>
      </c>
      <c r="B28">
        <v>27</v>
      </c>
      <c r="C28">
        <f t="shared" si="0"/>
        <v>540</v>
      </c>
    </row>
    <row r="29" spans="1:11" x14ac:dyDescent="0.55000000000000004">
      <c r="A29">
        <v>28</v>
      </c>
      <c r="B29">
        <v>28</v>
      </c>
      <c r="C29">
        <f t="shared" si="0"/>
        <v>560</v>
      </c>
    </row>
    <row r="30" spans="1:11" x14ac:dyDescent="0.55000000000000004">
      <c r="A30">
        <v>29</v>
      </c>
      <c r="B30">
        <v>29</v>
      </c>
      <c r="C30">
        <f t="shared" si="0"/>
        <v>580</v>
      </c>
    </row>
    <row r="31" spans="1:11" x14ac:dyDescent="0.55000000000000004">
      <c r="A31">
        <v>30</v>
      </c>
      <c r="B31">
        <v>30</v>
      </c>
      <c r="C31">
        <f t="shared" si="0"/>
        <v>600</v>
      </c>
    </row>
    <row r="32" spans="1:11" x14ac:dyDescent="0.55000000000000004">
      <c r="A32">
        <v>31</v>
      </c>
      <c r="B32">
        <v>31</v>
      </c>
      <c r="C32">
        <f t="shared" si="0"/>
        <v>620</v>
      </c>
    </row>
    <row r="33" spans="1:3" x14ac:dyDescent="0.55000000000000004">
      <c r="A33">
        <v>32</v>
      </c>
      <c r="B33">
        <v>32</v>
      </c>
      <c r="C33">
        <f t="shared" si="0"/>
        <v>640</v>
      </c>
    </row>
    <row r="34" spans="1:3" x14ac:dyDescent="0.55000000000000004">
      <c r="A34">
        <v>33</v>
      </c>
      <c r="B34">
        <v>33</v>
      </c>
      <c r="C34">
        <f t="shared" si="0"/>
        <v>660</v>
      </c>
    </row>
    <row r="35" spans="1:3" x14ac:dyDescent="0.55000000000000004">
      <c r="A35">
        <v>34</v>
      </c>
      <c r="B35">
        <v>34</v>
      </c>
      <c r="C35">
        <f t="shared" si="0"/>
        <v>680</v>
      </c>
    </row>
    <row r="36" spans="1:3" x14ac:dyDescent="0.55000000000000004">
      <c r="A36">
        <v>35</v>
      </c>
      <c r="B36">
        <v>35</v>
      </c>
      <c r="C36">
        <f t="shared" si="0"/>
        <v>700</v>
      </c>
    </row>
    <row r="37" spans="1:3" x14ac:dyDescent="0.55000000000000004">
      <c r="A37">
        <v>36</v>
      </c>
      <c r="B37">
        <v>36</v>
      </c>
      <c r="C37">
        <f t="shared" si="0"/>
        <v>720</v>
      </c>
    </row>
    <row r="38" spans="1:3" x14ac:dyDescent="0.55000000000000004">
      <c r="A38">
        <v>37</v>
      </c>
      <c r="B38">
        <v>37</v>
      </c>
      <c r="C38">
        <f t="shared" si="0"/>
        <v>740</v>
      </c>
    </row>
    <row r="39" spans="1:3" x14ac:dyDescent="0.55000000000000004">
      <c r="A39">
        <v>38</v>
      </c>
      <c r="B39">
        <v>38</v>
      </c>
      <c r="C39">
        <f t="shared" si="0"/>
        <v>760</v>
      </c>
    </row>
    <row r="42" spans="1:3" x14ac:dyDescent="0.55000000000000004">
      <c r="A42" t="s">
        <v>21</v>
      </c>
      <c r="C42">
        <f>SUM(C2:C39)</f>
        <v>14820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Pickem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JACKattackW wilkins</dc:creator>
  <cp:lastModifiedBy>JACKattackW wilkins</cp:lastModifiedBy>
  <dcterms:created xsi:type="dcterms:W3CDTF">2026-05-24T21:00:38Z</dcterms:created>
  <dcterms:modified xsi:type="dcterms:W3CDTF">2026-05-24T21:51:54Z</dcterms:modified>
</cp:coreProperties>
</file>