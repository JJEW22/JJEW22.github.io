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258977402b9a53/Desktop/COOP/futureMath/personalWebsite/my-website/static/"/>
    </mc:Choice>
  </mc:AlternateContent>
  <xr:revisionPtr revIDLastSave="745" documentId="8_{867DBCD6-7AF9-4EBF-899F-19C6CCA2DE6F}" xr6:coauthVersionLast="47" xr6:coauthVersionMax="47" xr10:uidLastSave="{F5AD9538-1F51-4AED-9B18-8E36F814BEB6}"/>
  <bookViews>
    <workbookView xWindow="-96" yWindow="-96" windowWidth="23232" windowHeight="12432" xr2:uid="{F2CC4DDF-27B6-4D19-B743-3CECDC910C25}"/>
  </bookViews>
  <sheets>
    <sheet name="HomeGames" sheetId="1" r:id="rId1"/>
    <sheet name="AwayGames" sheetId="2" r:id="rId2"/>
    <sheet name="Disallowed games" sheetId="7" r:id="rId3"/>
    <sheet name="TeamInfo" sheetId="3" r:id="rId4"/>
    <sheet name="AwayGamesBig" sheetId="6" r:id="rId5"/>
    <sheet name="notes" sheetId="5" r:id="rId6"/>
    <sheet name="spring tourney" sheetId="8" r:id="rId7"/>
    <sheet name="GameCalculator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K10" i="2"/>
  <c r="K9" i="2"/>
  <c r="J9" i="2"/>
  <c r="K8" i="2"/>
  <c r="J8" i="2"/>
  <c r="I8" i="2"/>
  <c r="K7" i="2"/>
  <c r="J7" i="2"/>
  <c r="I7" i="2"/>
  <c r="H7" i="2"/>
  <c r="K6" i="2"/>
  <c r="J6" i="2"/>
  <c r="I6" i="2"/>
  <c r="H6" i="2"/>
  <c r="G6" i="2"/>
  <c r="K5" i="2"/>
  <c r="J5" i="2"/>
  <c r="I5" i="2"/>
  <c r="H5" i="2"/>
  <c r="G5" i="2"/>
  <c r="F5" i="2"/>
  <c r="K4" i="2"/>
  <c r="J4" i="2"/>
  <c r="I4" i="2"/>
  <c r="H4" i="2"/>
  <c r="G4" i="2"/>
  <c r="F4" i="2"/>
  <c r="E4" i="2"/>
  <c r="K3" i="2"/>
  <c r="J3" i="2"/>
  <c r="I3" i="2"/>
  <c r="H3" i="2"/>
  <c r="G3" i="2"/>
  <c r="F3" i="2"/>
  <c r="D3" i="2"/>
  <c r="K2" i="2"/>
  <c r="J2" i="2"/>
  <c r="I2" i="2"/>
  <c r="H2" i="2"/>
  <c r="F2" i="2"/>
  <c r="E2" i="2"/>
  <c r="D2" i="2"/>
  <c r="C2" i="2"/>
  <c r="K10" i="1"/>
  <c r="J9" i="1"/>
  <c r="K9" i="1"/>
  <c r="I8" i="1"/>
  <c r="J8" i="1"/>
  <c r="K8" i="1"/>
  <c r="I7" i="1"/>
  <c r="J7" i="1"/>
  <c r="K7" i="1"/>
  <c r="H7" i="1"/>
  <c r="H6" i="1"/>
  <c r="I6" i="1"/>
  <c r="J6" i="1"/>
  <c r="K6" i="1"/>
  <c r="G6" i="1"/>
  <c r="G5" i="1"/>
  <c r="H5" i="1"/>
  <c r="I5" i="1"/>
  <c r="J5" i="1"/>
  <c r="K5" i="1"/>
  <c r="F5" i="1"/>
  <c r="F4" i="1"/>
  <c r="G4" i="1"/>
  <c r="H4" i="1"/>
  <c r="I4" i="1"/>
  <c r="J4" i="1"/>
  <c r="K4" i="1"/>
  <c r="E4" i="1"/>
  <c r="E3" i="1"/>
  <c r="F3" i="1"/>
  <c r="G3" i="1"/>
  <c r="H3" i="1"/>
  <c r="I3" i="1"/>
  <c r="J3" i="1"/>
  <c r="K3" i="1"/>
  <c r="D3" i="1"/>
  <c r="C2" i="1"/>
  <c r="D2" i="1"/>
  <c r="E2" i="1"/>
  <c r="F2" i="1"/>
  <c r="G2" i="1"/>
  <c r="H2" i="1"/>
  <c r="I2" i="1"/>
  <c r="J2" i="1"/>
  <c r="K2" i="1"/>
  <c r="C11" i="7"/>
  <c r="B11" i="7"/>
  <c r="C10" i="7"/>
  <c r="B10" i="7"/>
  <c r="C9" i="7"/>
  <c r="B9" i="7"/>
  <c r="C8" i="7"/>
  <c r="B8" i="7"/>
  <c r="B7" i="7"/>
  <c r="C6" i="7"/>
  <c r="B6" i="7"/>
  <c r="B5" i="7"/>
  <c r="C4" i="7"/>
  <c r="B4" i="7"/>
  <c r="C3" i="7"/>
  <c r="K10" i="6"/>
  <c r="K9" i="6"/>
  <c r="J9" i="6"/>
  <c r="K8" i="6"/>
  <c r="J8" i="6"/>
  <c r="I8" i="6"/>
  <c r="K7" i="6"/>
  <c r="J7" i="6"/>
  <c r="I7" i="6"/>
  <c r="H7" i="6"/>
  <c r="K6" i="6"/>
  <c r="J6" i="6"/>
  <c r="I6" i="6"/>
  <c r="H6" i="6"/>
  <c r="G6" i="6"/>
  <c r="K5" i="6"/>
  <c r="J5" i="6"/>
  <c r="I5" i="6"/>
  <c r="H5" i="6"/>
  <c r="G5" i="6"/>
  <c r="F5" i="6"/>
  <c r="K4" i="6"/>
  <c r="J4" i="6"/>
  <c r="I4" i="6"/>
  <c r="H4" i="6"/>
  <c r="G4" i="6"/>
  <c r="F4" i="6"/>
  <c r="E4" i="6"/>
  <c r="K3" i="6"/>
  <c r="J3" i="6"/>
  <c r="I3" i="6"/>
  <c r="H3" i="6"/>
  <c r="G3" i="6"/>
  <c r="F3" i="6"/>
  <c r="E3" i="6"/>
  <c r="D3" i="6"/>
  <c r="K2" i="6"/>
  <c r="J2" i="6"/>
  <c r="I2" i="6"/>
  <c r="H2" i="6"/>
  <c r="G2" i="6"/>
  <c r="F2" i="6"/>
  <c r="E2" i="6"/>
  <c r="D2" i="6"/>
  <c r="C2" i="6"/>
  <c r="C7" i="7" l="1"/>
  <c r="D7" i="7" s="1"/>
  <c r="G2" i="2"/>
  <c r="B2" i="7"/>
  <c r="D2" i="7" s="1"/>
  <c r="D8" i="7"/>
  <c r="C5" i="7"/>
  <c r="D5" i="7" s="1"/>
  <c r="E3" i="2"/>
  <c r="B3" i="7"/>
  <c r="D3" i="7" s="1"/>
  <c r="D4" i="7"/>
  <c r="D9" i="7"/>
  <c r="D6" i="7"/>
  <c r="D10" i="7"/>
  <c r="D11" i="7"/>
  <c r="F7" i="4"/>
  <c r="E7" i="4"/>
  <c r="C7" i="4"/>
  <c r="D7" i="4" s="1"/>
  <c r="B6" i="4"/>
  <c r="E6" i="4" s="1"/>
  <c r="F6" i="4" s="1"/>
  <c r="B5" i="4"/>
  <c r="E5" i="4" s="1"/>
  <c r="F5" i="4" s="1"/>
  <c r="C5" i="4" l="1"/>
  <c r="D5" i="4" s="1"/>
  <c r="C6" i="4"/>
  <c r="D6" i="4" s="1"/>
</calcChain>
</file>

<file path=xl/sharedStrings.xml><?xml version="1.0" encoding="utf-8"?>
<sst xmlns="http://schemas.openxmlformats.org/spreadsheetml/2006/main" count="352" uniqueCount="77">
  <si>
    <t>manler</t>
  </si>
  <si>
    <t>unhinged</t>
  </si>
  <si>
    <t>kandy</t>
  </si>
  <si>
    <t>XXX</t>
  </si>
  <si>
    <t>UNPLAYED</t>
  </si>
  <si>
    <t>Player 1</t>
  </si>
  <si>
    <t>Player 2</t>
  </si>
  <si>
    <t>Jack</t>
  </si>
  <si>
    <t>Katelyn</t>
  </si>
  <si>
    <t>Vedant</t>
  </si>
  <si>
    <t>Anish</t>
  </si>
  <si>
    <t>Sam</t>
  </si>
  <si>
    <t>Kato</t>
  </si>
  <si>
    <t>Patrik</t>
  </si>
  <si>
    <t>Sandy</t>
  </si>
  <si>
    <t>name</t>
  </si>
  <si>
    <t>teamName</t>
  </si>
  <si>
    <t>Haneen</t>
  </si>
  <si>
    <t>Ethan</t>
  </si>
  <si>
    <t>Hethan</t>
  </si>
  <si>
    <t>Shawty</t>
  </si>
  <si>
    <t>Alice</t>
  </si>
  <si>
    <t>John</t>
  </si>
  <si>
    <t>Shartyyyy</t>
  </si>
  <si>
    <t>Crok Messieurs</t>
  </si>
  <si>
    <t>in</t>
  </si>
  <si>
    <t>possible</t>
  </si>
  <si>
    <t>Parker</t>
  </si>
  <si>
    <t>Calum?</t>
  </si>
  <si>
    <t>anish</t>
  </si>
  <si>
    <t>Jackson</t>
  </si>
  <si>
    <t>Dream</t>
  </si>
  <si>
    <t>DTE</t>
  </si>
  <si>
    <t>DooDoo</t>
  </si>
  <si>
    <t>team</t>
  </si>
  <si>
    <t>games</t>
  </si>
  <si>
    <t>Sessions</t>
  </si>
  <si>
    <t>boards</t>
  </si>
  <si>
    <t>GPS</t>
  </si>
  <si>
    <t>GPT</t>
  </si>
  <si>
    <t>GPT PS</t>
  </si>
  <si>
    <t># teams</t>
  </si>
  <si>
    <t>Kat Trik</t>
  </si>
  <si>
    <t>Piper + Ethan</t>
  </si>
  <si>
    <t>Piper</t>
  </si>
  <si>
    <t>Maybe?</t>
  </si>
  <si>
    <t>down to be on 2nd</t>
  </si>
  <si>
    <t>J&amp;J</t>
  </si>
  <si>
    <t>Kalice</t>
  </si>
  <si>
    <t>Handy</t>
  </si>
  <si>
    <t>Et Haneen</t>
  </si>
  <si>
    <t>Interested in 2nd</t>
  </si>
  <si>
    <t>Handy Manny</t>
  </si>
  <si>
    <t>Peethan</t>
  </si>
  <si>
    <t>unknown</t>
  </si>
  <si>
    <t>TRON</t>
  </si>
  <si>
    <t>Katy</t>
  </si>
  <si>
    <t>count top</t>
  </si>
  <si>
    <t>count left</t>
  </si>
  <si>
    <t>total</t>
  </si>
  <si>
    <t>base counts</t>
  </si>
  <si>
    <t>added no games</t>
  </si>
  <si>
    <t>team 1</t>
  </si>
  <si>
    <t>team 2</t>
  </si>
  <si>
    <t>Crok Messiers</t>
  </si>
  <si>
    <t>^ there is a 3 way no overlap. Could make it so you just play each of them once and your result in the series is determined by those 2 ^</t>
  </si>
  <si>
    <t>Doesn't work because then there is also J&amp;J left over</t>
  </si>
  <si>
    <t>was played</t>
  </si>
  <si>
    <t>away TRON won by 100</t>
  </si>
  <si>
    <t>F</t>
  </si>
  <si>
    <t>-F</t>
  </si>
  <si>
    <t>random</t>
  </si>
  <si>
    <t>Na'ama</t>
  </si>
  <si>
    <t>Team name</t>
  </si>
  <si>
    <t>player</t>
  </si>
  <si>
    <t>Nick</t>
  </si>
  <si>
    <t>The Sweatshop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</si>
</sst>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CE8B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164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0" fontId="1" fillId="3" borderId="0" xfId="0" quotePrefix="1" applyFont="1" applyFill="1" applyAlignment="1">
      <alignment wrapText="1"/>
    </xf>
  </cellXfs>
  <cellStyles count="1">
    <cellStyle name="Normal" xfId="0" builtinId="0"/>
  </cellStyles>
  <dxfs count="30"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patternFill>
          <bgColor rgb="FFDCD094"/>
        </patternFill>
      </fill>
    </dxf>
  </dxfs>
  <tableStyles count="0" defaultTableStyle="TableStyleMedium2" defaultPivotStyle="PivotStyleLight16"/>
  <colors>
    <mruColors>
      <color rgb="FFDCD0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29F0-B3DC-465A-80A7-6440F9A84DDB}">
  <dimension ref="A1:Q13"/>
  <sheetViews>
    <sheetView tabSelected="1" workbookViewId="0">
      <selection activeCell="O9" sqref="O9"/>
    </sheetView>
  </sheetViews>
  <sheetFormatPr defaultRowHeight="14.4" x14ac:dyDescent="0.55000000000000004"/>
  <cols>
    <col min="1" max="2" width="12.5234375" bestFit="1" customWidth="1"/>
    <col min="5" max="5" width="8.41796875" bestFit="1" customWidth="1"/>
  </cols>
  <sheetData>
    <row r="1" spans="1:17" ht="14.7" thickBot="1" x14ac:dyDescent="0.6">
      <c r="A1" s="1" t="s">
        <v>16</v>
      </c>
      <c r="B1" s="9" t="s">
        <v>24</v>
      </c>
      <c r="C1" s="9" t="s">
        <v>50</v>
      </c>
      <c r="D1" s="9" t="s">
        <v>23</v>
      </c>
      <c r="E1" s="9" t="s">
        <v>48</v>
      </c>
      <c r="F1" s="9" t="s">
        <v>47</v>
      </c>
      <c r="G1" s="10" t="s">
        <v>42</v>
      </c>
      <c r="H1" s="5" t="s">
        <v>52</v>
      </c>
      <c r="I1" s="1" t="s">
        <v>53</v>
      </c>
      <c r="J1" s="1" t="s">
        <v>55</v>
      </c>
      <c r="K1" s="1" t="s">
        <v>56</v>
      </c>
    </row>
    <row r="2" spans="1:17" ht="25.8" thickBot="1" x14ac:dyDescent="0.6">
      <c r="A2" s="9" t="s">
        <v>24</v>
      </c>
      <c r="B2" s="2" t="s">
        <v>3</v>
      </c>
      <c r="C2" s="4">
        <f>IF(OR(B3 = "UNPLAYED", B3 = "XXX"), B3, IF(B3 = "F", "-F", IF(B3 = "-F", "F", -1*B3)))</f>
        <v>100</v>
      </c>
      <c r="D2" s="4" t="str">
        <f>IF(OR(B4 = "UNPLAYED", B4 = "XXX"), B4, IF(B4 = "F", "-F", IF(B4 = "-F", "F", -1*B4)))</f>
        <v>F</v>
      </c>
      <c r="E2" s="4">
        <f>IF(OR(B5 = "UNPLAYED", B5 = "XXX"), B5, IF(B5 = "F", "-F", IF(B5 = "-F", "F", -1*B5)))</f>
        <v>95</v>
      </c>
      <c r="F2" s="4" t="str">
        <f>IF(OR(B6 = "UNPLAYED", B6 = "XXX"), B6, IF(B6 = "F", "-F", IF(B6 = "-F", "F", -1*B6)))</f>
        <v>XXX</v>
      </c>
      <c r="G2" s="4">
        <f>IF(OR(B7 = "UNPLAYED", B7 = "XXX"), B7, IF(B7 = "F", "-F", IF(B7 = "-F", "F", -1*B7)))</f>
        <v>10</v>
      </c>
      <c r="H2" s="4" t="str">
        <f>IF(OR(B8 = "UNPLAYED", B8 = "XXX"), B8, IF(B8 = "F", "-F", IF(B8 = "-F", "F", -1*B8)))</f>
        <v>F</v>
      </c>
      <c r="I2" s="4">
        <f>IF(OR(B9 = "UNPLAYED", B9 = "XXX"), B9, IF(B9 = "F", "-F", IF(B9 = "-F", "F", -1*B9)))</f>
        <v>55</v>
      </c>
      <c r="J2" s="4" t="str">
        <f>IF(OR(B10 = "UNPLAYED", B10 = "XXX"), B10, IF(B10 = "F", "-F", IF(B10 = "-F", "F", -1*B10)))</f>
        <v>XXX</v>
      </c>
      <c r="K2" s="4" t="str">
        <f>IF(OR(B11 = "UNPLAYED", B11 = "XXX"), B11, IF(B11 = "F", "-F", IF(B11 = "-F", "F", -1*B11)))</f>
        <v>UNPLAYED</v>
      </c>
    </row>
    <row r="3" spans="1:17" ht="25.8" thickBot="1" x14ac:dyDescent="0.6">
      <c r="A3" s="9" t="s">
        <v>50</v>
      </c>
      <c r="B3" s="3">
        <v>-100</v>
      </c>
      <c r="C3" s="2" t="s">
        <v>3</v>
      </c>
      <c r="D3" s="4">
        <f>IF(OR(C4 = "UNPLAYED", C4 = "XXX"), C4, IF(C4 = "F", "-F", IF(C4 = "-F", "F", -1*C4)))</f>
        <v>60</v>
      </c>
      <c r="E3" s="4">
        <f>IF(OR(C5 = "UNPLAYED", C5 = "XXX"), C5, IF(C5 = "F", "-F", IF(C5 = "-F", "F", -1*C5)))</f>
        <v>100</v>
      </c>
      <c r="F3" s="4">
        <f>IF(OR(C6 = "UNPLAYED", C6 = "XXX"), C6, IF(C6 = "F", "-F", IF(C6 = "-F", "F", -1*C6)))</f>
        <v>-55</v>
      </c>
      <c r="G3" s="4">
        <f>IF(OR(C7 = "UNPLAYED", C7 = "XXX"), C7, IF(C7 = "F", "-F", IF(C7 = "-F", "F", -1*C7)))</f>
        <v>-50</v>
      </c>
      <c r="H3" s="4" t="str">
        <f>IF(OR(C8 = "UNPLAYED", C8 = "XXX"), C8, IF(C8 = "F", "-F", IF(C8 = "-F", "F", -1*C8)))</f>
        <v>XXX</v>
      </c>
      <c r="I3" s="4" t="str">
        <f>IF(OR(C9 = "UNPLAYED", C9 = "XXX"), C9, IF(C9 = "F", "-F", IF(C9 = "-F", "F", -1*C9)))</f>
        <v>XXX</v>
      </c>
      <c r="J3" s="4">
        <f>IF(OR(C10 = "UNPLAYED", C10 = "XXX"), C10, IF(C10 = "F", "-F", IF(C10 = "-F", "F", -1*C10)))</f>
        <v>-75</v>
      </c>
      <c r="K3" s="4" t="str">
        <f>IF(OR(C11 = "UNPLAYED", C11 = "XXX"), C11, IF(C11 = "F", "-F", IF(C11 = "-F", "F", -1*C11)))</f>
        <v>F</v>
      </c>
      <c r="O3" s="4"/>
    </row>
    <row r="4" spans="1:17" ht="25.8" thickBot="1" x14ac:dyDescent="0.6">
      <c r="A4" s="9" t="s">
        <v>23</v>
      </c>
      <c r="B4" s="14" t="s">
        <v>70</v>
      </c>
      <c r="C4" s="3">
        <v>-60</v>
      </c>
      <c r="D4" s="2" t="s">
        <v>3</v>
      </c>
      <c r="E4" s="4" t="str">
        <f>IF(OR(D5 = "UNPLAYED", D5 = "XXX"), D5, IF(D5 = "F", "-F", IF(D5 = "-F", "F", -1*D5)))</f>
        <v>-F</v>
      </c>
      <c r="F4" s="4">
        <f>IF(OR(D6 = "UNPLAYED", D6 = "XXX"), D6, IF(D6 = "F", "-F", IF(D6 = "-F", "F", -1*D6)))</f>
        <v>-100</v>
      </c>
      <c r="G4" s="4" t="str">
        <f>IF(OR(D7 = "UNPLAYED", D7 = "XXX"), D7, IF(D7 = "F", "-F", IF(D7 = "-F", "F", -1*D7)))</f>
        <v>UNPLAYED</v>
      </c>
      <c r="H4" s="4" t="str">
        <f>IF(OR(D8 = "UNPLAYED", D8 = "XXX"), D8, IF(D8 = "F", "-F", IF(D8 = "-F", "F", -1*D8)))</f>
        <v>XXX</v>
      </c>
      <c r="I4" s="4" t="str">
        <f>IF(OR(D9 = "UNPLAYED", D9 = "XXX"), D9, IF(D9 = "F", "-F", IF(D9 = "-F", "F", -1*D9)))</f>
        <v>UNPLAYED</v>
      </c>
      <c r="J4" s="4" t="str">
        <f>IF(OR(D10 = "UNPLAYED", D10 = "XXX"), D10, IF(D10 = "F", "-F", IF(D10 = "-F", "F", -1*D10)))</f>
        <v>UNPLAYED</v>
      </c>
      <c r="K4" s="4" t="str">
        <f>IF(OR(D11 = "UNPLAYED", D11 = "XXX"), D11, IF(D11 = "F", "-F", IF(D11 = "-F", "F", -1*D11)))</f>
        <v>XXX</v>
      </c>
      <c r="O4" s="4"/>
    </row>
    <row r="5" spans="1:17" ht="25.8" thickBot="1" x14ac:dyDescent="0.6">
      <c r="A5" s="9" t="s">
        <v>48</v>
      </c>
      <c r="B5" s="3">
        <v>-95</v>
      </c>
      <c r="C5" s="14">
        <v>-100</v>
      </c>
      <c r="D5" s="3" t="s">
        <v>69</v>
      </c>
      <c r="E5" s="2" t="s">
        <v>3</v>
      </c>
      <c r="F5" s="4" t="str">
        <f>IF(OR(E6 = "UNPLAYED", E6 = "XXX"), E6, IF(E6 = "F", "-F", IF(E6 = "-F", "F", -1*E6)))</f>
        <v>XXX</v>
      </c>
      <c r="G5" s="4" t="str">
        <f>IF(OR(E7 = "UNPLAYED", E7 = "XXX"), E7, IF(E7 = "F", "-F", IF(E7 = "-F", "F", -1*E7)))</f>
        <v>F</v>
      </c>
      <c r="H5" s="4">
        <f>IF(OR(E8 = "UNPLAYED", E8 = "XXX"), E8, IF(E8 = "F", "-F", IF(E8 = "-F", "F", -1*E8)))</f>
        <v>-65</v>
      </c>
      <c r="I5" s="4">
        <f>IF(OR(E9 = "UNPLAYED", E9 = "XXX"), E9, IF(E9 = "F", "-F", IF(E9 = "-F", "F", -1*E9)))</f>
        <v>-30</v>
      </c>
      <c r="J5" s="4" t="str">
        <f>IF(OR(E10 = "UNPLAYED", E10 = "XXX"), E10, IF(E10 = "F", "-F", IF(E10 = "-F", "F", -1*E10)))</f>
        <v>XXX</v>
      </c>
      <c r="K5" s="4" t="str">
        <f>IF(OR(E11 = "UNPLAYED", E11 = "XXX"), E11, IF(E11 = "F", "-F", IF(E11 = "-F", "F", -1*E11)))</f>
        <v>F</v>
      </c>
      <c r="O5" s="4"/>
    </row>
    <row r="6" spans="1:17" ht="25.8" thickBot="1" x14ac:dyDescent="0.6">
      <c r="A6" s="9" t="s">
        <v>47</v>
      </c>
      <c r="B6" s="2" t="s">
        <v>3</v>
      </c>
      <c r="C6" s="3">
        <v>55</v>
      </c>
      <c r="D6" s="3">
        <v>100</v>
      </c>
      <c r="E6" s="2" t="s">
        <v>3</v>
      </c>
      <c r="F6" s="2" t="s">
        <v>3</v>
      </c>
      <c r="G6" s="4">
        <f>IF(OR(F7 = "UNPLAYED", F7 = "XXX"), F7, IF(F7 = "F", "-F", IF(F7 = "-F", "F", -1*F7)))</f>
        <v>-40</v>
      </c>
      <c r="H6" s="4">
        <f>IF(OR(F8 = "UNPLAYED", F8 = "XXX"), F8, IF(F8 = "F", "-F", IF(F8 = "-F", "F", -1*F8)))</f>
        <v>100</v>
      </c>
      <c r="I6" s="4" t="str">
        <f>IF(OR(F9 = "UNPLAYED", F9 = "XXX"), F9, IF(F9 = "F", "-F", IF(F9 = "-F", "F", -1*F9)))</f>
        <v>F</v>
      </c>
      <c r="J6" s="4">
        <f>IF(OR(F10 = "UNPLAYED", F10 = "XXX"), F10, IF(F10 = "F", "-F", IF(F10 = "-F", "F", -1*F10)))</f>
        <v>15</v>
      </c>
      <c r="K6" s="4" t="str">
        <f>IF(OR(F11 = "UNPLAYED", F11 = "XXX"), F11, IF(F11 = "F", "-F", IF(F11 = "-F", "F", -1*F11)))</f>
        <v>F</v>
      </c>
      <c r="O6" s="4"/>
    </row>
    <row r="7" spans="1:17" ht="25.5" x14ac:dyDescent="0.55000000000000004">
      <c r="A7" s="10" t="s">
        <v>42</v>
      </c>
      <c r="B7" s="3">
        <v>-10</v>
      </c>
      <c r="C7" s="3">
        <v>50</v>
      </c>
      <c r="D7" s="3" t="s">
        <v>4</v>
      </c>
      <c r="E7" s="14" t="s">
        <v>70</v>
      </c>
      <c r="F7" s="3">
        <v>40</v>
      </c>
      <c r="G7" s="2" t="s">
        <v>3</v>
      </c>
      <c r="H7" s="4">
        <f>IF(OR(G8 = "UNPLAYED", G8 = "XXX"), G8, IF(G8 = "F", "-F", IF(G8 = "-F", "F", -1*G8)))</f>
        <v>75</v>
      </c>
      <c r="I7" s="4" t="str">
        <f>IF(OR(G9 = "UNPLAYED", G9 = "XXX"), G9, IF(G9 = "F", "-F", IF(G9 = "-F", "F", -1*G9)))</f>
        <v>XXX</v>
      </c>
      <c r="J7" s="4">
        <f>IF(OR(G10 = "UNPLAYED", G10 = "XXX"), G10, IF(G10 = "F", "-F", IF(G10 = "-F", "F", -1*G10)))</f>
        <v>-20</v>
      </c>
      <c r="K7" s="4" t="str">
        <f>IF(OR(G11 = "UNPLAYED", G11 = "XXX"), G11, IF(G11 = "F", "-F", IF(G11 = "-F", "F", -1*G11)))</f>
        <v>XXX</v>
      </c>
      <c r="O7" s="4"/>
    </row>
    <row r="8" spans="1:17" ht="25.5" x14ac:dyDescent="0.55000000000000004">
      <c r="A8" s="1" t="s">
        <v>52</v>
      </c>
      <c r="B8" s="14" t="s">
        <v>70</v>
      </c>
      <c r="C8" s="2" t="s">
        <v>3</v>
      </c>
      <c r="D8" s="2" t="s">
        <v>3</v>
      </c>
      <c r="E8" s="3">
        <v>65</v>
      </c>
      <c r="F8" s="3">
        <v>-100</v>
      </c>
      <c r="G8" s="3">
        <v>-75</v>
      </c>
      <c r="H8" s="2" t="s">
        <v>3</v>
      </c>
      <c r="I8" s="4" t="str">
        <f>IF(OR(H9 = "UNPLAYED", H9 = "XXX"), H9, IF(H9 = "F", "-F", IF(H9 = "-F", "F", -1*H9)))</f>
        <v>UNPLAYED</v>
      </c>
      <c r="J8" s="4" t="str">
        <f>IF(OR(H10 = "UNPLAYED", H10 = "XXX"), H10, IF(H10 = "F", "-F", IF(H10 = "-F", "F", -1*H10)))</f>
        <v>UNPLAYED</v>
      </c>
      <c r="K8" s="4" t="str">
        <f>IF(OR(H11 = "UNPLAYED", H11 = "XXX"), H11, IF(H11 = "F", "-F", IF(H11 = "-F", "F", -1*H11)))</f>
        <v>UNPLAYED</v>
      </c>
      <c r="O8" s="4"/>
    </row>
    <row r="9" spans="1:17" ht="25.5" x14ac:dyDescent="0.55000000000000004">
      <c r="A9" s="1" t="s">
        <v>53</v>
      </c>
      <c r="B9" s="3">
        <v>-55</v>
      </c>
      <c r="C9" s="2" t="s">
        <v>3</v>
      </c>
      <c r="D9" s="3" t="s">
        <v>4</v>
      </c>
      <c r="E9" s="3">
        <v>30</v>
      </c>
      <c r="F9" s="14" t="s">
        <v>70</v>
      </c>
      <c r="G9" s="2" t="s">
        <v>3</v>
      </c>
      <c r="H9" s="3" t="s">
        <v>4</v>
      </c>
      <c r="I9" s="2" t="s">
        <v>3</v>
      </c>
      <c r="J9" s="4">
        <f>IF(OR(I10 = "UNPLAYED", I10 = "XXX"), I10, IF(I10 = "F", "-F", IF(I10 = "-F", "F", -1*I10)))</f>
        <v>-90</v>
      </c>
      <c r="K9" s="4">
        <f>IF(OR(I11 = "UNPLAYED", I11 = "XXX"), I11, IF(I11 = "F", "-F", IF(I11 = "-F", "F", -1*I11)))</f>
        <v>15</v>
      </c>
      <c r="O9" s="4"/>
    </row>
    <row r="10" spans="1:17" ht="25.5" x14ac:dyDescent="0.55000000000000004">
      <c r="A10" s="1" t="s">
        <v>55</v>
      </c>
      <c r="B10" s="2" t="s">
        <v>3</v>
      </c>
      <c r="C10" s="3">
        <v>75</v>
      </c>
      <c r="D10" s="3" t="s">
        <v>4</v>
      </c>
      <c r="E10" s="2" t="s">
        <v>3</v>
      </c>
      <c r="F10" s="3">
        <v>-15</v>
      </c>
      <c r="G10" s="3">
        <v>20</v>
      </c>
      <c r="H10" s="3" t="s">
        <v>4</v>
      </c>
      <c r="I10" s="3">
        <v>90</v>
      </c>
      <c r="J10" s="2" t="s">
        <v>3</v>
      </c>
      <c r="K10" s="4">
        <f>IF(OR(J11 = "UNPLAYED", J11 = "XXX"), J11, IF(J11 = "F", "-F", IF(J11 = "-F", "F", -1*J11)))</f>
        <v>100</v>
      </c>
      <c r="O10" s="4"/>
      <c r="P10" s="4"/>
      <c r="Q10" s="4"/>
    </row>
    <row r="11" spans="1:17" ht="25.5" x14ac:dyDescent="0.55000000000000004">
      <c r="A11" s="1" t="s">
        <v>56</v>
      </c>
      <c r="B11" s="3" t="s">
        <v>4</v>
      </c>
      <c r="C11" s="14" t="s">
        <v>70</v>
      </c>
      <c r="D11" s="2" t="s">
        <v>3</v>
      </c>
      <c r="E11" s="14" t="s">
        <v>70</v>
      </c>
      <c r="F11" s="14" t="s">
        <v>70</v>
      </c>
      <c r="G11" s="2" t="s">
        <v>3</v>
      </c>
      <c r="H11" s="3" t="s">
        <v>4</v>
      </c>
      <c r="I11" s="3">
        <v>-15</v>
      </c>
      <c r="J11" s="3">
        <v>-100</v>
      </c>
      <c r="K11" s="2" t="s">
        <v>3</v>
      </c>
      <c r="O11" s="4"/>
      <c r="P11" s="4"/>
      <c r="Q11" s="4"/>
    </row>
    <row r="12" spans="1:17" x14ac:dyDescent="0.55000000000000004">
      <c r="B12" s="1"/>
      <c r="C12" s="1"/>
      <c r="D12" s="1"/>
      <c r="E12" s="1"/>
      <c r="F12" s="1"/>
      <c r="G12" s="1"/>
      <c r="H12" s="1"/>
      <c r="I12" s="1"/>
      <c r="J12" s="1"/>
      <c r="K12" s="1"/>
      <c r="O12" s="4"/>
      <c r="P12" s="4"/>
      <c r="Q12" s="4"/>
    </row>
    <row r="13" spans="1:17" x14ac:dyDescent="0.55000000000000004">
      <c r="K13" s="1"/>
    </row>
  </sheetData>
  <conditionalFormatting sqref="B6:D7 F6:H7">
    <cfRule type="cellIs" dxfId="29" priority="13" operator="equal">
      <formula>"UNPLAYED"</formula>
    </cfRule>
    <cfRule type="cellIs" dxfId="28" priority="14" operator="equal">
      <formula>"XXX"</formula>
    </cfRule>
  </conditionalFormatting>
  <conditionalFormatting sqref="B2:K5 O3:O9 G6:K6 H7:K7 B8:K8 J9:K9 B9:B10 K10 O10:Q12">
    <cfRule type="cellIs" dxfId="27" priority="7" operator="equal">
      <formula>"UNPLAYED"</formula>
    </cfRule>
    <cfRule type="cellIs" dxfId="26" priority="8" operator="equal">
      <formula>"XXX"</formula>
    </cfRule>
  </conditionalFormatting>
  <conditionalFormatting sqref="C9">
    <cfRule type="cellIs" dxfId="25" priority="9" operator="equal">
      <formula>"UNPLAYED"</formula>
    </cfRule>
    <cfRule type="cellIs" dxfId="24" priority="10" operator="equal">
      <formula>"XXX"</formula>
    </cfRule>
  </conditionalFormatting>
  <conditionalFormatting sqref="E7">
    <cfRule type="cellIs" dxfId="23" priority="5" operator="equal">
      <formula>"UNPLAYED"</formula>
    </cfRule>
    <cfRule type="cellIs" dxfId="22" priority="6" operator="equal">
      <formula>"XXX"</formula>
    </cfRule>
  </conditionalFormatting>
  <conditionalFormatting sqref="G11">
    <cfRule type="cellIs" dxfId="21" priority="3" operator="equal">
      <formula>"UNPLAYED"</formula>
    </cfRule>
    <cfRule type="cellIs" dxfId="20" priority="4" operator="equal">
      <formula>"XXX"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8B2E-F019-48DD-B57E-84981A9F67DB}">
  <dimension ref="A1:L13"/>
  <sheetViews>
    <sheetView workbookViewId="0">
      <selection activeCell="D14" sqref="D14"/>
    </sheetView>
  </sheetViews>
  <sheetFormatPr defaultRowHeight="14.4" x14ac:dyDescent="0.55000000000000004"/>
  <cols>
    <col min="1" max="2" width="12.5234375" bestFit="1" customWidth="1"/>
    <col min="8" max="8" width="11" bestFit="1" customWidth="1"/>
  </cols>
  <sheetData>
    <row r="1" spans="1:12" ht="14.7" thickBot="1" x14ac:dyDescent="0.6">
      <c r="A1" s="1" t="s">
        <v>16</v>
      </c>
      <c r="B1" s="9" t="s">
        <v>24</v>
      </c>
      <c r="C1" s="9" t="s">
        <v>50</v>
      </c>
      <c r="D1" s="9" t="s">
        <v>23</v>
      </c>
      <c r="E1" s="9" t="s">
        <v>48</v>
      </c>
      <c r="F1" s="9" t="s">
        <v>47</v>
      </c>
      <c r="G1" s="10" t="s">
        <v>42</v>
      </c>
      <c r="H1" s="5" t="s">
        <v>52</v>
      </c>
      <c r="I1" s="1" t="s">
        <v>53</v>
      </c>
      <c r="J1" s="1" t="s">
        <v>55</v>
      </c>
      <c r="K1" s="1" t="s">
        <v>56</v>
      </c>
    </row>
    <row r="2" spans="1:12" ht="25.8" thickBot="1" x14ac:dyDescent="0.6">
      <c r="A2" s="9" t="s">
        <v>24</v>
      </c>
      <c r="B2" s="2" t="s">
        <v>3</v>
      </c>
      <c r="C2" s="4">
        <f>IF(OR(B3 = "UNPLAYED", B3 = "XXX"), B3, IF(B3 = "F", "-F", IF(B3 = "-F", "F", -1*B3)))</f>
        <v>100</v>
      </c>
      <c r="D2" s="4" t="str">
        <f>IF(OR(B4 = "UNPLAYED", B4 = "XXX"), B4, IF(B4 = "F", "-F", IF(B4 = "-F", "F", -1*B4)))</f>
        <v>F</v>
      </c>
      <c r="E2" s="4">
        <f>IF(OR(B5 = "UNPLAYED", B5 = "XXX"), B5, IF(B5 = "F", "-F", IF(B5 = "-F", "F", -1*B5)))</f>
        <v>100</v>
      </c>
      <c r="F2" s="4" t="str">
        <f>IF(OR(B6 = "UNPLAYED", B6 = "XXX"), B6, IF(B6 = "F", "-F", IF(B6 = "-F", "F", -1*B6)))</f>
        <v>XXX</v>
      </c>
      <c r="G2" s="4" t="str">
        <f>IF(OR(B7 = "UNPLAYED", B7 = "XXX"), B7, IF(B7 = "F", "-F", IF(B7 = "-F", "F", -1*B7)))</f>
        <v>F</v>
      </c>
      <c r="H2" s="4" t="str">
        <f>IF(OR(B8 = "UNPLAYED", B8 = "XXX"), B8, IF(B8 = "F", "-F", IF(B8 = "-F", "F", -1*B8)))</f>
        <v>F</v>
      </c>
      <c r="I2" s="4">
        <f>IF(OR(B9 = "UNPLAYED", B9 = "XXX"), B9, IF(B9 = "F", "-F", IF(B9 = "-F", "F", -1*B9)))</f>
        <v>100</v>
      </c>
      <c r="J2" s="4" t="str">
        <f>IF(OR(B10 = "UNPLAYED", B10 = "XXX"), B10, IF(B10 = "F", "-F", IF(B10 = "-F", "F", -1*B10)))</f>
        <v>XXX</v>
      </c>
      <c r="K2" s="4" t="str">
        <f>IF(OR(B11 = "UNPLAYED", B11 = "XXX"), B11, IF(B11 = "F", "-F", IF(B11 = "-F", "F", -1*B11)))</f>
        <v>F</v>
      </c>
    </row>
    <row r="3" spans="1:12" ht="25.8" thickBot="1" x14ac:dyDescent="0.6">
      <c r="A3" s="9" t="s">
        <v>50</v>
      </c>
      <c r="B3" s="3">
        <v>-100</v>
      </c>
      <c r="C3" s="2" t="s">
        <v>3</v>
      </c>
      <c r="D3" s="4" t="str">
        <f>IF(OR(C4 = "UNPLAYED", C4 = "XXX"), C4, IF(C4 = "F", "-F", IF(C4 = "-F", "F", -1*C4)))</f>
        <v>F</v>
      </c>
      <c r="E3" s="4" t="str">
        <f>IF(OR(C5 = "UNPLAYED", C5 = "XXX"), C5, IF(C5 = "F", "-F", IF(C5 = "-F", "F", -1*C5)))</f>
        <v>F</v>
      </c>
      <c r="F3" s="4">
        <f>IF(OR(C6 = "UNPLAYED", C6 = "XXX"), C6, IF(C6 = "F", "-F", IF(C6 = "-F", "F", -1*C6)))</f>
        <v>-60</v>
      </c>
      <c r="G3" s="4" t="str">
        <f>IF(OR(C7 = "UNPLAYED", C7 = "XXX"), C7, IF(C7 = "F", "-F", IF(C7 = "-F", "F", -1*C7)))</f>
        <v>F</v>
      </c>
      <c r="H3" s="4" t="str">
        <f>IF(OR(C8 = "UNPLAYED", C8 = "XXX"), C8, IF(C8 = "F", "-F", IF(C8 = "-F", "F", -1*C8)))</f>
        <v>XXX</v>
      </c>
      <c r="I3" s="4" t="str">
        <f>IF(OR(C9 = "UNPLAYED", C9 = "XXX"), C9, IF(C9 = "F", "-F", IF(C9 = "-F", "F", -1*C9)))</f>
        <v>XXX</v>
      </c>
      <c r="J3" s="4">
        <f>IF(OR(C10 = "UNPLAYED", C10 = "XXX"), C10, IF(C10 = "F", "-F", IF(C10 = "-F", "F", -1*C10)))</f>
        <v>-45</v>
      </c>
      <c r="K3" s="4" t="str">
        <f>IF(OR(C11 = "UNPLAYED", C11 = "XXX"), C11, IF(C11 = "F", "-F", IF(C11 = "-F", "F", -1*C11)))</f>
        <v>F</v>
      </c>
    </row>
    <row r="4" spans="1:12" ht="25.8" thickBot="1" x14ac:dyDescent="0.6">
      <c r="A4" s="9" t="s">
        <v>23</v>
      </c>
      <c r="B4" s="14" t="s">
        <v>70</v>
      </c>
      <c r="C4" s="14" t="s">
        <v>70</v>
      </c>
      <c r="D4" s="2" t="s">
        <v>3</v>
      </c>
      <c r="E4" s="4" t="str">
        <f>IF(OR(D5 = "UNPLAYED", D5 = "XXX"), D5, IF(D5 = "F", "-F", IF(D5 = "-F", "F", -1*D5)))</f>
        <v>-F</v>
      </c>
      <c r="F4" s="4">
        <f>IF(OR(D6 = "UNPLAYED", D6 = "XXX"), D6, IF(D6 = "F", "-F", IF(D6 = "-F", "F", -1*D6)))</f>
        <v>-100</v>
      </c>
      <c r="G4" s="4" t="str">
        <f>IF(OR(D7 = "UNPLAYED", D7 = "XXX"), D7, IF(D7 = "F", "-F", IF(D7 = "-F", "F", -1*D7)))</f>
        <v>UNPLAYED</v>
      </c>
      <c r="H4" s="4" t="str">
        <f>IF(OR(D8 = "UNPLAYED", D8 = "XXX"), D8, IF(D8 = "F", "-F", IF(D8 = "-F", "F", -1*D8)))</f>
        <v>XXX</v>
      </c>
      <c r="I4" s="4" t="str">
        <f>IF(OR(D9 = "UNPLAYED", D9 = "XXX"), D9, IF(D9 = "F", "-F", IF(D9 = "-F", "F", -1*D9)))</f>
        <v>UNPLAYED</v>
      </c>
      <c r="J4" s="4" t="str">
        <f>IF(OR(D10 = "UNPLAYED", D10 = "XXX"), D10, IF(D10 = "F", "-F", IF(D10 = "-F", "F", -1*D10)))</f>
        <v>-F</v>
      </c>
      <c r="K4" s="4" t="str">
        <f>IF(OR(D11 = "UNPLAYED", D11 = "XXX"), D11, IF(D11 = "F", "-F", IF(D11 = "-F", "F", -1*D11)))</f>
        <v>XXX</v>
      </c>
    </row>
    <row r="5" spans="1:12" ht="25.8" thickBot="1" x14ac:dyDescent="0.6">
      <c r="A5" s="9" t="s">
        <v>48</v>
      </c>
      <c r="B5" s="3">
        <v>-100</v>
      </c>
      <c r="C5" s="14" t="s">
        <v>70</v>
      </c>
      <c r="D5" s="3" t="s">
        <v>69</v>
      </c>
      <c r="E5" s="2" t="s">
        <v>3</v>
      </c>
      <c r="F5" s="4" t="str">
        <f>IF(OR(E6 = "UNPLAYED", E6 = "XXX"), E6, IF(E6 = "F", "-F", IF(E6 = "-F", "F", -1*E6)))</f>
        <v>XXX</v>
      </c>
      <c r="G5" s="4" t="str">
        <f>IF(OR(E7 = "UNPLAYED", E7 = "XXX"), E7, IF(E7 = "F", "-F", IF(E7 = "-F", "F", -1*E7)))</f>
        <v>F</v>
      </c>
      <c r="H5" s="4" t="str">
        <f>IF(OR(E8 = "UNPLAYED", E8 = "XXX"), E8, IF(E8 = "F", "-F", IF(E8 = "-F", "F", -1*E8)))</f>
        <v>F</v>
      </c>
      <c r="I5" s="4" t="str">
        <f>IF(OR(E9 = "UNPLAYED", E9 = "XXX"), E9, IF(E9 = "F", "-F", IF(E9 = "-F", "F", -1*E9)))</f>
        <v>-F</v>
      </c>
      <c r="J5" s="4" t="str">
        <f>IF(OR(E10 = "UNPLAYED", E10 = "XXX"), E10, IF(E10 = "F", "-F", IF(E10 = "-F", "F", -1*E10)))</f>
        <v>XXX</v>
      </c>
      <c r="K5" s="4" t="str">
        <f>IF(OR(E11 = "UNPLAYED", E11 = "XXX"), E11, IF(E11 = "F", "-F", IF(E11 = "-F", "F", -1*E11)))</f>
        <v>F</v>
      </c>
    </row>
    <row r="6" spans="1:12" ht="25.8" thickBot="1" x14ac:dyDescent="0.6">
      <c r="A6" s="9" t="s">
        <v>47</v>
      </c>
      <c r="B6" s="2" t="s">
        <v>3</v>
      </c>
      <c r="C6" s="3">
        <v>60</v>
      </c>
      <c r="D6" s="3">
        <v>100</v>
      </c>
      <c r="E6" s="2" t="s">
        <v>3</v>
      </c>
      <c r="F6" s="2" t="s">
        <v>3</v>
      </c>
      <c r="G6" s="4">
        <f>IF(OR(F7 = "UNPLAYED", F7 = "XXX"), F7, IF(F7 = "F", "-F", IF(F7 = "-F", "F", -1*F7)))</f>
        <v>45</v>
      </c>
      <c r="H6" s="4" t="str">
        <f>IF(OR(F8 = "UNPLAYED", F8 = "XXX"), F8, IF(F8 = "F", "-F", IF(F8 = "-F", "F", -1*F8)))</f>
        <v>F</v>
      </c>
      <c r="I6" s="4">
        <f>IF(OR(F9 = "UNPLAYED", F9 = "XXX"), F9, IF(F9 = "F", "-F", IF(F9 = "-F", "F", -1*F9)))</f>
        <v>-70</v>
      </c>
      <c r="J6" s="4">
        <f>IF(OR(F10 = "UNPLAYED", F10 = "XXX"), F10, IF(F10 = "F", "-F", IF(F10 = "-F", "F", -1*F10)))</f>
        <v>-100</v>
      </c>
      <c r="K6" s="4" t="str">
        <f>IF(OR(F11 = "UNPLAYED", F11 = "XXX"), F11, IF(F11 = "F", "-F", IF(F11 = "-F", "F", -1*F11)))</f>
        <v>F</v>
      </c>
    </row>
    <row r="7" spans="1:12" ht="25.5" x14ac:dyDescent="0.55000000000000004">
      <c r="A7" s="10" t="s">
        <v>42</v>
      </c>
      <c r="B7" s="14" t="s">
        <v>70</v>
      </c>
      <c r="C7" s="14" t="s">
        <v>70</v>
      </c>
      <c r="D7" s="3" t="s">
        <v>4</v>
      </c>
      <c r="E7" s="14" t="s">
        <v>70</v>
      </c>
      <c r="F7" s="3">
        <v>-45</v>
      </c>
      <c r="G7" s="2" t="s">
        <v>3</v>
      </c>
      <c r="H7" s="4" t="str">
        <f>IF(OR(G8 = "UNPLAYED", G8 = "XXX"), G8, IF(G8 = "F", "-F", IF(G8 = "-F", "F", -1*G8)))</f>
        <v>UNPLAYED</v>
      </c>
      <c r="I7" s="4" t="str">
        <f>IF(OR(G9 = "UNPLAYED", G9 = "XXX"), G9, IF(G9 = "F", "-F", IF(G9 = "-F", "F", -1*G9)))</f>
        <v>XXX</v>
      </c>
      <c r="J7" s="4" t="str">
        <f>IF(OR(G10 = "UNPLAYED", G10 = "XXX"), G10, IF(G10 = "F", "-F", IF(G10 = "-F", "F", -1*G10)))</f>
        <v>UNPLAYED</v>
      </c>
      <c r="K7" s="4" t="str">
        <f>IF(OR(G11 = "UNPLAYED", G11 = "XXX"), G11, IF(G11 = "F", "-F", IF(G11 = "-F", "F", -1*G11)))</f>
        <v>XXX</v>
      </c>
    </row>
    <row r="8" spans="1:12" ht="25.5" x14ac:dyDescent="0.55000000000000004">
      <c r="A8" s="1" t="s">
        <v>52</v>
      </c>
      <c r="B8" s="14" t="s">
        <v>70</v>
      </c>
      <c r="C8" s="2" t="s">
        <v>3</v>
      </c>
      <c r="D8" s="2" t="s">
        <v>3</v>
      </c>
      <c r="E8" s="14" t="s">
        <v>70</v>
      </c>
      <c r="F8" s="14" t="s">
        <v>70</v>
      </c>
      <c r="G8" s="3" t="s">
        <v>4</v>
      </c>
      <c r="H8" s="2" t="s">
        <v>3</v>
      </c>
      <c r="I8" s="4" t="str">
        <f>IF(OR(H9 = "UNPLAYED", H9 = "XXX"), H9, IF(H9 = "F", "-F", IF(H9 = "-F", "F", -1*H9)))</f>
        <v>UNPLAYED</v>
      </c>
      <c r="J8" s="4" t="str">
        <f>IF(OR(H10 = "UNPLAYED", H10 = "XXX"), H10, IF(H10 = "F", "-F", IF(H10 = "-F", "F", -1*H10)))</f>
        <v>-F</v>
      </c>
      <c r="K8" s="4" t="str">
        <f>IF(OR(H11 = "UNPLAYED", H11 = "XXX"), H11, IF(H11 = "F", "-F", IF(H11 = "-F", "F", -1*H11)))</f>
        <v>UNPLAYED</v>
      </c>
    </row>
    <row r="9" spans="1:12" ht="25.5" x14ac:dyDescent="0.55000000000000004">
      <c r="A9" s="1" t="s">
        <v>53</v>
      </c>
      <c r="B9" s="3">
        <v>-100</v>
      </c>
      <c r="C9" s="2" t="s">
        <v>3</v>
      </c>
      <c r="D9" s="3" t="s">
        <v>4</v>
      </c>
      <c r="E9" s="3" t="s">
        <v>69</v>
      </c>
      <c r="F9" s="3">
        <v>70</v>
      </c>
      <c r="G9" s="2" t="s">
        <v>3</v>
      </c>
      <c r="H9" s="3" t="s">
        <v>4</v>
      </c>
      <c r="I9" s="2" t="s">
        <v>3</v>
      </c>
      <c r="J9" s="4">
        <f>IF(OR(I10 = "UNPLAYED", I10 = "XXX"), I10, IF(I10 = "F", "-F", IF(I10 = "-F", "F", -1*I10)))</f>
        <v>-100</v>
      </c>
      <c r="K9" s="4">
        <f>IF(OR(I11 = "UNPLAYED", I11 = "XXX"), I11, IF(I11 = "F", "-F", IF(I11 = "-F", "F", -1*I11)))</f>
        <v>0</v>
      </c>
      <c r="L9" s="1"/>
    </row>
    <row r="10" spans="1:12" ht="25.5" x14ac:dyDescent="0.55000000000000004">
      <c r="A10" s="1" t="s">
        <v>55</v>
      </c>
      <c r="B10" s="2" t="s">
        <v>3</v>
      </c>
      <c r="C10" s="3">
        <v>45</v>
      </c>
      <c r="D10" s="3" t="s">
        <v>69</v>
      </c>
      <c r="E10" s="2" t="s">
        <v>3</v>
      </c>
      <c r="F10" s="3">
        <v>100</v>
      </c>
      <c r="G10" s="3" t="s">
        <v>4</v>
      </c>
      <c r="H10" s="3" t="s">
        <v>69</v>
      </c>
      <c r="I10" s="3">
        <v>100</v>
      </c>
      <c r="J10" s="2" t="s">
        <v>3</v>
      </c>
      <c r="K10" s="4" t="str">
        <f>IF(OR(J11 = "UNPLAYED", J11 = "XXX"), J11, IF(J11 = "F", "-F", IF(J11 = "-F", "F", -1*J11)))</f>
        <v>UNPLAYED</v>
      </c>
      <c r="L10" s="1"/>
    </row>
    <row r="11" spans="1:12" ht="25.5" x14ac:dyDescent="0.55000000000000004">
      <c r="A11" s="1" t="s">
        <v>56</v>
      </c>
      <c r="B11" s="14" t="s">
        <v>70</v>
      </c>
      <c r="C11" s="14" t="s">
        <v>70</v>
      </c>
      <c r="D11" s="2" t="s">
        <v>3</v>
      </c>
      <c r="E11" s="14" t="s">
        <v>70</v>
      </c>
      <c r="F11" s="14" t="s">
        <v>70</v>
      </c>
      <c r="G11" s="2" t="s">
        <v>3</v>
      </c>
      <c r="H11" s="3" t="s">
        <v>4</v>
      </c>
      <c r="I11" s="3">
        <v>0</v>
      </c>
      <c r="J11" s="3" t="s">
        <v>4</v>
      </c>
      <c r="K11" s="2" t="s">
        <v>3</v>
      </c>
      <c r="L11" s="1"/>
    </row>
    <row r="12" spans="1:12" x14ac:dyDescent="0.55000000000000004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55000000000000004"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conditionalFormatting sqref="B9:B10">
    <cfRule type="cellIs" dxfId="19" priority="23" operator="equal">
      <formula>"UNPLAYED"</formula>
    </cfRule>
    <cfRule type="cellIs" dxfId="18" priority="24" operator="equal">
      <formula>"XXX"</formula>
    </cfRule>
  </conditionalFormatting>
  <conditionalFormatting sqref="B6:D7">
    <cfRule type="cellIs" dxfId="17" priority="33" operator="equal">
      <formula>"UNPLAYED"</formula>
    </cfRule>
    <cfRule type="cellIs" dxfId="16" priority="34" operator="equal">
      <formula>"XXX"</formula>
    </cfRule>
  </conditionalFormatting>
  <conditionalFormatting sqref="B2:K5">
    <cfRule type="cellIs" dxfId="15" priority="15" operator="equal">
      <formula>"UNPLAYED"</formula>
    </cfRule>
    <cfRule type="cellIs" dxfId="14" priority="16" operator="equal">
      <formula>"XXX"</formula>
    </cfRule>
  </conditionalFormatting>
  <conditionalFormatting sqref="B8:K8">
    <cfRule type="cellIs" dxfId="13" priority="5" operator="equal">
      <formula>"UNPLAYED"</formula>
    </cfRule>
    <cfRule type="cellIs" dxfId="12" priority="6" operator="equal">
      <formula>"XXX"</formula>
    </cfRule>
  </conditionalFormatting>
  <conditionalFormatting sqref="C9">
    <cfRule type="cellIs" dxfId="11" priority="29" operator="equal">
      <formula>"UNPLAYED"</formula>
    </cfRule>
    <cfRule type="cellIs" dxfId="10" priority="30" operator="equal">
      <formula>"XXX"</formula>
    </cfRule>
  </conditionalFormatting>
  <conditionalFormatting sqref="E7:K7">
    <cfRule type="cellIs" dxfId="9" priority="7" operator="equal">
      <formula>"UNPLAYED"</formula>
    </cfRule>
    <cfRule type="cellIs" dxfId="8" priority="8" operator="equal">
      <formula>"XXX"</formula>
    </cfRule>
  </conditionalFormatting>
  <conditionalFormatting sqref="F6:K6">
    <cfRule type="cellIs" dxfId="7" priority="11" operator="equal">
      <formula>"UNPLAYED"</formula>
    </cfRule>
    <cfRule type="cellIs" dxfId="6" priority="12" operator="equal">
      <formula>"XXX"</formula>
    </cfRule>
  </conditionalFormatting>
  <conditionalFormatting sqref="G11">
    <cfRule type="cellIs" dxfId="5" priority="27" operator="equal">
      <formula>"UNPLAYED"</formula>
    </cfRule>
    <cfRule type="cellIs" dxfId="4" priority="28" operator="equal">
      <formula>"XXX"</formula>
    </cfRule>
  </conditionalFormatting>
  <conditionalFormatting sqref="J9:K9">
    <cfRule type="cellIs" dxfId="3" priority="3" operator="equal">
      <formula>"UNPLAYED"</formula>
    </cfRule>
    <cfRule type="cellIs" dxfId="2" priority="4" operator="equal">
      <formula>"XXX"</formula>
    </cfRule>
  </conditionalFormatting>
  <conditionalFormatting sqref="K10">
    <cfRule type="cellIs" dxfId="1" priority="1" operator="equal">
      <formula>"UNPLAYED"</formula>
    </cfRule>
    <cfRule type="cellIs" dxfId="0" priority="2" operator="equal">
      <formula>"XXX"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ABF2-F401-4C44-99C9-20C25E7AB746}">
  <dimension ref="A1:P17"/>
  <sheetViews>
    <sheetView workbookViewId="0">
      <selection activeCell="M8" sqref="M8"/>
    </sheetView>
  </sheetViews>
  <sheetFormatPr defaultRowHeight="14.4" x14ac:dyDescent="0.55000000000000004"/>
  <cols>
    <col min="6" max="6" width="12.5234375" customWidth="1"/>
    <col min="8" max="8" width="11.578125" bestFit="1" customWidth="1"/>
  </cols>
  <sheetData>
    <row r="1" spans="1:16" ht="14.7" thickBot="1" x14ac:dyDescent="0.6">
      <c r="B1" t="s">
        <v>57</v>
      </c>
      <c r="C1" s="3" t="s">
        <v>58</v>
      </c>
      <c r="D1" t="s">
        <v>59</v>
      </c>
      <c r="F1" t="s">
        <v>60</v>
      </c>
      <c r="G1" t="s">
        <v>57</v>
      </c>
      <c r="H1" t="s">
        <v>58</v>
      </c>
      <c r="I1" t="s">
        <v>59</v>
      </c>
    </row>
    <row r="2" spans="1:16" ht="14.7" thickBot="1" x14ac:dyDescent="0.6">
      <c r="A2" s="9" t="s">
        <v>24</v>
      </c>
      <c r="B2">
        <f>COUNTIF(AwayGames!B2:B11, "XXX")</f>
        <v>3</v>
      </c>
      <c r="C2">
        <v>0</v>
      </c>
      <c r="D2">
        <f t="shared" ref="D2:D11" si="0">B2 + C2</f>
        <v>3</v>
      </c>
      <c r="F2" t="s">
        <v>24</v>
      </c>
      <c r="G2">
        <v>2</v>
      </c>
      <c r="H2">
        <v>0</v>
      </c>
      <c r="I2">
        <v>2</v>
      </c>
    </row>
    <row r="3" spans="1:16" ht="14.7" thickBot="1" x14ac:dyDescent="0.6">
      <c r="A3" s="9" t="s">
        <v>50</v>
      </c>
      <c r="B3">
        <f>COUNTIF(AwayGames!C3:C12, "XXX")</f>
        <v>3</v>
      </c>
      <c r="C3">
        <f>COUNTIF(AwayGames!$B3:B3, "XXX")</f>
        <v>0</v>
      </c>
      <c r="D3">
        <f t="shared" si="0"/>
        <v>3</v>
      </c>
      <c r="F3" t="s">
        <v>50</v>
      </c>
      <c r="G3">
        <v>3</v>
      </c>
      <c r="H3">
        <v>0</v>
      </c>
      <c r="I3">
        <v>3</v>
      </c>
    </row>
    <row r="4" spans="1:16" ht="14.7" thickBot="1" x14ac:dyDescent="0.6">
      <c r="A4" s="9" t="s">
        <v>23</v>
      </c>
      <c r="B4">
        <f>COUNTIF(AwayGames!D4:D13, "XXX")</f>
        <v>3</v>
      </c>
      <c r="C4">
        <f>COUNTIF(AwayGames!$B4:C4, "XXX")</f>
        <v>0</v>
      </c>
      <c r="D4">
        <f t="shared" si="0"/>
        <v>3</v>
      </c>
      <c r="F4" t="s">
        <v>23</v>
      </c>
      <c r="G4">
        <v>3</v>
      </c>
      <c r="H4">
        <v>0</v>
      </c>
      <c r="I4">
        <v>3</v>
      </c>
    </row>
    <row r="5" spans="1:16" ht="14.7" thickBot="1" x14ac:dyDescent="0.6">
      <c r="A5" s="9" t="s">
        <v>48</v>
      </c>
      <c r="B5">
        <f>COUNTIF(AwayGames!E5:E14, "XXX")</f>
        <v>3</v>
      </c>
      <c r="C5">
        <f>COUNTIF(AwayGames!$B5:D5, "XXX")</f>
        <v>0</v>
      </c>
      <c r="D5">
        <f t="shared" si="0"/>
        <v>3</v>
      </c>
      <c r="F5" t="s">
        <v>48</v>
      </c>
      <c r="G5">
        <v>1</v>
      </c>
      <c r="H5">
        <v>0</v>
      </c>
      <c r="I5">
        <v>1</v>
      </c>
    </row>
    <row r="6" spans="1:16" ht="14.7" thickBot="1" x14ac:dyDescent="0.6">
      <c r="A6" s="9" t="s">
        <v>47</v>
      </c>
      <c r="B6">
        <f>COUNTIF(AwayGames!F6:F15, "XXX")</f>
        <v>1</v>
      </c>
      <c r="C6">
        <f>COUNTIF(AwayGames!$B6:E6, "XXX")</f>
        <v>2</v>
      </c>
      <c r="D6">
        <f t="shared" si="0"/>
        <v>3</v>
      </c>
      <c r="F6" t="s">
        <v>47</v>
      </c>
      <c r="G6">
        <v>1</v>
      </c>
      <c r="H6">
        <v>1</v>
      </c>
      <c r="I6">
        <v>2</v>
      </c>
    </row>
    <row r="7" spans="1:16" x14ac:dyDescent="0.55000000000000004">
      <c r="A7" s="10" t="s">
        <v>42</v>
      </c>
      <c r="B7">
        <f>COUNTIF(AwayGames!G7:G16, "XXX")</f>
        <v>3</v>
      </c>
      <c r="C7">
        <f>COUNTIF(AwayGames!$B7:F7, "XXX")</f>
        <v>0</v>
      </c>
      <c r="D7">
        <f t="shared" si="0"/>
        <v>3</v>
      </c>
      <c r="F7" t="s">
        <v>42</v>
      </c>
      <c r="G7">
        <v>3</v>
      </c>
      <c r="H7">
        <v>0</v>
      </c>
      <c r="I7">
        <v>3</v>
      </c>
    </row>
    <row r="8" spans="1:16" ht="25.5" x14ac:dyDescent="0.55000000000000004">
      <c r="A8" s="1" t="s">
        <v>52</v>
      </c>
      <c r="B8">
        <f>COUNTIF(AwayGames!H8:H17, "XXX")</f>
        <v>1</v>
      </c>
      <c r="C8">
        <f>COUNTIF(AwayGames!$B8:G8, "XXX")</f>
        <v>2</v>
      </c>
      <c r="D8">
        <f t="shared" si="0"/>
        <v>3</v>
      </c>
      <c r="F8" t="s">
        <v>52</v>
      </c>
      <c r="G8">
        <v>1</v>
      </c>
      <c r="H8">
        <v>2</v>
      </c>
      <c r="I8">
        <v>3</v>
      </c>
    </row>
    <row r="9" spans="1:16" x14ac:dyDescent="0.55000000000000004">
      <c r="A9" s="1" t="s">
        <v>53</v>
      </c>
      <c r="B9">
        <f>COUNTIF(AwayGames!I9:I18, "XXX")</f>
        <v>1</v>
      </c>
      <c r="C9">
        <f>COUNTIF(AwayGames!$B9:H9, "XXX")</f>
        <v>2</v>
      </c>
      <c r="D9">
        <f t="shared" si="0"/>
        <v>3</v>
      </c>
      <c r="F9" t="s">
        <v>53</v>
      </c>
      <c r="G9">
        <v>1</v>
      </c>
      <c r="H9">
        <v>2</v>
      </c>
      <c r="I9">
        <v>3</v>
      </c>
    </row>
    <row r="10" spans="1:16" x14ac:dyDescent="0.55000000000000004">
      <c r="A10" s="1" t="s">
        <v>55</v>
      </c>
      <c r="B10">
        <f>COUNTIF(AwayGames!J10:J19, "XXX")</f>
        <v>1</v>
      </c>
      <c r="C10">
        <f>COUNTIF(AwayGames!$B10:I10, "XXX")</f>
        <v>2</v>
      </c>
      <c r="D10">
        <f t="shared" si="0"/>
        <v>3</v>
      </c>
      <c r="F10" t="s">
        <v>55</v>
      </c>
      <c r="G10">
        <v>1</v>
      </c>
      <c r="H10">
        <v>0</v>
      </c>
      <c r="I10">
        <v>1</v>
      </c>
    </row>
    <row r="11" spans="1:16" x14ac:dyDescent="0.55000000000000004">
      <c r="A11" s="1" t="s">
        <v>56</v>
      </c>
      <c r="B11">
        <f>COUNTIF(AwayGames!K11:K20, "XXX")</f>
        <v>1</v>
      </c>
      <c r="C11">
        <f>COUNTIF(AwayGames!$B11:J11, "XXX")</f>
        <v>2</v>
      </c>
      <c r="D11">
        <f t="shared" si="0"/>
        <v>3</v>
      </c>
      <c r="F11" t="s">
        <v>56</v>
      </c>
      <c r="G11">
        <v>1</v>
      </c>
      <c r="H11">
        <v>2</v>
      </c>
      <c r="I11">
        <v>3</v>
      </c>
    </row>
    <row r="13" spans="1:16" x14ac:dyDescent="0.55000000000000004">
      <c r="N13" t="s">
        <v>48</v>
      </c>
      <c r="O13" t="s">
        <v>55</v>
      </c>
      <c r="P13" t="s">
        <v>64</v>
      </c>
    </row>
    <row r="14" spans="1:16" x14ac:dyDescent="0.55000000000000004">
      <c r="F14" t="s">
        <v>61</v>
      </c>
      <c r="H14" t="s">
        <v>62</v>
      </c>
      <c r="I14" t="s">
        <v>63</v>
      </c>
      <c r="J14" t="s">
        <v>67</v>
      </c>
      <c r="N14" t="s">
        <v>65</v>
      </c>
    </row>
    <row r="15" spans="1:16" x14ac:dyDescent="0.55000000000000004">
      <c r="H15" t="s">
        <v>48</v>
      </c>
      <c r="I15" t="s">
        <v>55</v>
      </c>
      <c r="J15" t="s">
        <v>68</v>
      </c>
      <c r="N15" t="s">
        <v>66</v>
      </c>
    </row>
    <row r="16" spans="1:16" x14ac:dyDescent="0.55000000000000004">
      <c r="H16" t="s">
        <v>64</v>
      </c>
      <c r="I16" t="s">
        <v>55</v>
      </c>
    </row>
    <row r="17" spans="8:9" x14ac:dyDescent="0.55000000000000004">
      <c r="H17" t="s">
        <v>48</v>
      </c>
      <c r="I1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B8BC-1389-42AE-87D2-D523A6E6AA2A}">
  <dimension ref="A1:C11"/>
  <sheetViews>
    <sheetView workbookViewId="0">
      <selection activeCell="E13" sqref="E13"/>
    </sheetView>
  </sheetViews>
  <sheetFormatPr defaultRowHeight="14.4" x14ac:dyDescent="0.55000000000000004"/>
  <cols>
    <col min="1" max="1" width="12.5234375" bestFit="1" customWidth="1"/>
    <col min="7" max="7" width="7.62890625" bestFit="1" customWidth="1"/>
  </cols>
  <sheetData>
    <row r="1" spans="1:3" ht="14.7" thickBot="1" x14ac:dyDescent="0.6">
      <c r="A1" s="6" t="s">
        <v>15</v>
      </c>
      <c r="B1" s="6" t="s">
        <v>5</v>
      </c>
      <c r="C1" s="6" t="s">
        <v>6</v>
      </c>
    </row>
    <row r="2" spans="1:3" ht="14.7" thickBot="1" x14ac:dyDescent="0.6">
      <c r="A2" s="9" t="s">
        <v>24</v>
      </c>
      <c r="B2" s="9" t="s">
        <v>7</v>
      </c>
      <c r="C2" s="9" t="s">
        <v>9</v>
      </c>
    </row>
    <row r="3" spans="1:3" ht="14.7" thickBot="1" x14ac:dyDescent="0.6">
      <c r="A3" s="9" t="s">
        <v>50</v>
      </c>
      <c r="B3" s="9" t="s">
        <v>17</v>
      </c>
      <c r="C3" s="9" t="s">
        <v>18</v>
      </c>
    </row>
    <row r="4" spans="1:3" ht="14.7" thickBot="1" x14ac:dyDescent="0.6">
      <c r="A4" s="9" t="s">
        <v>23</v>
      </c>
      <c r="B4" s="9" t="s">
        <v>14</v>
      </c>
      <c r="C4" s="9" t="s">
        <v>20</v>
      </c>
    </row>
    <row r="5" spans="1:3" ht="14.7" thickBot="1" x14ac:dyDescent="0.6">
      <c r="A5" s="9" t="s">
        <v>48</v>
      </c>
      <c r="B5" s="9" t="s">
        <v>8</v>
      </c>
      <c r="C5" s="9" t="s">
        <v>21</v>
      </c>
    </row>
    <row r="6" spans="1:3" ht="14.7" thickBot="1" x14ac:dyDescent="0.6">
      <c r="A6" s="9" t="s">
        <v>47</v>
      </c>
      <c r="B6" s="9" t="s">
        <v>7</v>
      </c>
      <c r="C6" s="9" t="s">
        <v>22</v>
      </c>
    </row>
    <row r="7" spans="1:3" ht="14.7" thickBot="1" x14ac:dyDescent="0.6">
      <c r="A7" s="10" t="s">
        <v>42</v>
      </c>
      <c r="B7" s="10" t="s">
        <v>13</v>
      </c>
      <c r="C7" s="9" t="s">
        <v>12</v>
      </c>
    </row>
    <row r="8" spans="1:3" x14ac:dyDescent="0.55000000000000004">
      <c r="A8" s="1" t="s">
        <v>52</v>
      </c>
      <c r="B8" s="10" t="s">
        <v>17</v>
      </c>
      <c r="C8" s="10" t="s">
        <v>14</v>
      </c>
    </row>
    <row r="9" spans="1:3" x14ac:dyDescent="0.55000000000000004">
      <c r="A9" s="1" t="s">
        <v>53</v>
      </c>
      <c r="B9" s="10" t="s">
        <v>13</v>
      </c>
      <c r="C9" s="10" t="s">
        <v>18</v>
      </c>
    </row>
    <row r="10" spans="1:3" x14ac:dyDescent="0.55000000000000004">
      <c r="A10" s="13" t="s">
        <v>55</v>
      </c>
      <c r="B10" s="10" t="s">
        <v>11</v>
      </c>
      <c r="C10" s="10" t="s">
        <v>10</v>
      </c>
    </row>
    <row r="11" spans="1:3" x14ac:dyDescent="0.55000000000000004">
      <c r="A11" s="1" t="s">
        <v>56</v>
      </c>
      <c r="B11" s="10" t="s">
        <v>12</v>
      </c>
      <c r="C11" s="10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9A10-1081-455E-AFC1-5E5397C1A5B5}">
  <dimension ref="A1:K13"/>
  <sheetViews>
    <sheetView workbookViewId="0">
      <selection activeCell="B15" sqref="B15"/>
    </sheetView>
  </sheetViews>
  <sheetFormatPr defaultRowHeight="14.4" x14ac:dyDescent="0.55000000000000004"/>
  <cols>
    <col min="1" max="2" width="12.5234375" bestFit="1" customWidth="1"/>
  </cols>
  <sheetData>
    <row r="1" spans="1:11" ht="14.7" thickBot="1" x14ac:dyDescent="0.6">
      <c r="A1" s="1" t="s">
        <v>16</v>
      </c>
      <c r="B1" s="9" t="s">
        <v>24</v>
      </c>
      <c r="C1" s="9" t="s">
        <v>19</v>
      </c>
      <c r="D1" s="9" t="s">
        <v>23</v>
      </c>
      <c r="E1" s="9" t="s">
        <v>48</v>
      </c>
      <c r="F1" s="9" t="s">
        <v>47</v>
      </c>
      <c r="G1" s="10" t="s">
        <v>42</v>
      </c>
      <c r="H1" s="10" t="s">
        <v>49</v>
      </c>
      <c r="I1" s="1" t="s">
        <v>0</v>
      </c>
      <c r="J1" s="1" t="s">
        <v>1</v>
      </c>
      <c r="K1" s="1" t="s">
        <v>2</v>
      </c>
    </row>
    <row r="2" spans="1:11" ht="25.8" thickBot="1" x14ac:dyDescent="0.6">
      <c r="A2" s="9" t="s">
        <v>24</v>
      </c>
      <c r="B2" s="2" t="s">
        <v>3</v>
      </c>
      <c r="C2" s="4" t="str">
        <f>IF(OR(B3 = "UNPLAYED", B3 = "XXX"), B3, -1* B3)</f>
        <v>UNPLAYED</v>
      </c>
      <c r="D2" s="4" t="str">
        <f>IF(OR(B4 = "UNPLAYED", B4 = "XXX"), B4, -1* B4)</f>
        <v>UNPLAYED</v>
      </c>
      <c r="E2" s="1" t="str">
        <f>IF(OR(B5 = "UNPLAYED", B5 = "XXX"), B5, -1* B5)</f>
        <v>UNPLAYED</v>
      </c>
      <c r="F2" s="1" t="str">
        <f>IF(OR(B6 = "UNPLAYED", B6 = "XXX"), B6, -1* B6)</f>
        <v>UNPLAYED</v>
      </c>
      <c r="G2" s="1" t="str">
        <f>IF(OR(B7 = "UNPLAYED", B7 = "XXX"), B7, -1* B7)</f>
        <v>UNPLAYED</v>
      </c>
      <c r="H2" s="1" t="str">
        <f>IF(OR(B8 = "UNPLAYED", B8 = "XXX"), B8, -1* B8)</f>
        <v>UNPLAYED</v>
      </c>
      <c r="I2" s="1" t="str">
        <f>IF(OR(B9 = "UNPLAYED", B9 = "XXX"), B9, -1* B9)</f>
        <v>XXX</v>
      </c>
      <c r="J2" s="1" t="str">
        <f>IF(OR(B10 = "UNPLAYED", B10 = "XXX"), B10, -1* B10)</f>
        <v>XXX</v>
      </c>
      <c r="K2" s="1" t="str">
        <f>IF(OR(B11 = "UNPLAYED", B11 = "XXX"), B11, -1* B11)</f>
        <v>UNPLAYED</v>
      </c>
    </row>
    <row r="3" spans="1:11" ht="25.8" thickBot="1" x14ac:dyDescent="0.6">
      <c r="A3" s="9" t="s">
        <v>19</v>
      </c>
      <c r="B3" s="3" t="s">
        <v>4</v>
      </c>
      <c r="C3" s="2" t="s">
        <v>3</v>
      </c>
      <c r="D3" s="4" t="str">
        <f>IF(OR(C4 = "UNPLAYED", C4 = "XXX"), C4, -1* C4)</f>
        <v>XXX</v>
      </c>
      <c r="E3" s="4" t="str">
        <f>IF(OR(C5 = "UNPLAYED", C5 = "XXX"), C5, -1* C5)</f>
        <v>UNPLAYED</v>
      </c>
      <c r="F3" s="1" t="str">
        <f>IF(OR(C6 = "UNPLAYED", C6 = "XXX"), C6, -1* C6)</f>
        <v>UNPLAYED</v>
      </c>
      <c r="G3" s="1" t="str">
        <f>IF(OR(C7 = "UNPLAYED", C7 = "XXX"), C7, -1* C7)</f>
        <v>XXX</v>
      </c>
      <c r="H3" s="1" t="str">
        <f>IF(OR(C8 = "UNPLAYED", C8 = "XXX"), C8, -1* C8)</f>
        <v>UNPLAYED</v>
      </c>
      <c r="I3" s="1" t="str">
        <f>IF(OR(C9 = "UNPLAYED", C9 = "XXX"), C9, -1* C9)</f>
        <v>UNPLAYED</v>
      </c>
      <c r="J3" s="1" t="str">
        <f>IF(OR(C10 = "UNPLAYED", C10 = "XXX"), C10, -1* C10)</f>
        <v>UNPLAYED</v>
      </c>
      <c r="K3" s="1" t="str">
        <f>IF(OR(C11 = "UNPLAYED", C11 = "XXX"), C11, -1* C11)</f>
        <v>UNPLAYED</v>
      </c>
    </row>
    <row r="4" spans="1:11" ht="25.8" thickBot="1" x14ac:dyDescent="0.6">
      <c r="A4" s="9" t="s">
        <v>23</v>
      </c>
      <c r="B4" s="3" t="s">
        <v>4</v>
      </c>
      <c r="C4" s="2" t="s">
        <v>3</v>
      </c>
      <c r="D4" s="2" t="s">
        <v>3</v>
      </c>
      <c r="E4" s="4" t="str">
        <f>IF(OR(D5 = "UNPLAYED", D5 = "XXX"), D5, -1* D5)</f>
        <v>XXX</v>
      </c>
      <c r="F4" s="4" t="str">
        <f>IF(OR(D6 = "UNPLAYED", D6 = "XXX"), D6, -1* D6)</f>
        <v>UNPLAYED</v>
      </c>
      <c r="G4" s="1" t="str">
        <f>IF(OR(D7 = "UNPLAYED", D7 = "XXX"), D7, -1* D7)</f>
        <v>UNPLAYED</v>
      </c>
      <c r="H4" s="1" t="str">
        <f>IF(OR(D8 = "UNPLAYED", D8 = "XXX"), D8, -1* D8)</f>
        <v>UNPLAYED</v>
      </c>
      <c r="I4" s="1" t="str">
        <f>IF(OR(D9 = "UNPLAYED", D9 = "XXX"), D9, -1* D9)</f>
        <v>UNPLAYED</v>
      </c>
      <c r="J4" s="1" t="str">
        <f>IF(OR(D10 = "UNPLAYED", D10 = "XXX"), D10, -1* D10)</f>
        <v>UNPLAYED</v>
      </c>
      <c r="K4" s="1" t="str">
        <f>IF(OR(D11 = "UNPLAYED", D11 = "XXX"), D11, -1* D11)</f>
        <v>UNPLAYED</v>
      </c>
    </row>
    <row r="5" spans="1:11" ht="25.8" thickBot="1" x14ac:dyDescent="0.6">
      <c r="A5" s="9" t="s">
        <v>48</v>
      </c>
      <c r="B5" s="3" t="s">
        <v>4</v>
      </c>
      <c r="C5" s="3" t="s">
        <v>4</v>
      </c>
      <c r="D5" s="2" t="s">
        <v>3</v>
      </c>
      <c r="E5" s="2" t="s">
        <v>3</v>
      </c>
      <c r="F5" s="4" t="str">
        <f>IF(OR(E6 = "UNPLAYED", E6 = "XXX"), E6, -1* E6)</f>
        <v>XXX</v>
      </c>
      <c r="G5" s="4" t="str">
        <f>IF(OR(E7 = "UNPLAYED", E7 = "XXX"), E7, -1* E7)</f>
        <v>UNPLAYED</v>
      </c>
      <c r="H5" s="1" t="str">
        <f>IF(OR(E8 = "UNPLAYED", E8 = "XXX"), E8, -1* E8)</f>
        <v>UNPLAYED</v>
      </c>
      <c r="I5" s="1" t="str">
        <f>IF(OR(E9 = "UNPLAYED", E9 = "XXX"), E9, -1* E9)</f>
        <v>UNPLAYED</v>
      </c>
      <c r="J5" s="1" t="str">
        <f>IF(OR(E10 = "UNPLAYED", E10 = "XXX"), E10, -1* E10)</f>
        <v>UNPLAYED</v>
      </c>
      <c r="K5" s="1" t="str">
        <f>IF(OR(E11 = "UNPLAYED", E11 = "XXX"), E11, -1* E11)</f>
        <v>UNPLAYED</v>
      </c>
    </row>
    <row r="6" spans="1:11" ht="25.8" thickBot="1" x14ac:dyDescent="0.6">
      <c r="A6" s="9" t="s">
        <v>47</v>
      </c>
      <c r="B6" s="3" t="s">
        <v>4</v>
      </c>
      <c r="C6" s="3" t="s">
        <v>4</v>
      </c>
      <c r="D6" s="3" t="s">
        <v>4</v>
      </c>
      <c r="E6" s="2" t="s">
        <v>3</v>
      </c>
      <c r="F6" s="2" t="s">
        <v>3</v>
      </c>
      <c r="G6" s="4" t="str">
        <f>IF(OR(F7 = "UNPLAYED", F7 = "XXX"), F7, -1* F7)</f>
        <v>XXX</v>
      </c>
      <c r="H6" s="4" t="str">
        <f>IF(OR(F8 = "UNPLAYED", F8 = "XXX"), F8, -1* F8)</f>
        <v>UNPLAYED</v>
      </c>
      <c r="I6" s="1" t="str">
        <f>IF(OR(F9 = "UNPLAYED", F9 = "XXX"), F9, -1* F9)</f>
        <v>UNPLAYED</v>
      </c>
      <c r="J6" s="1" t="str">
        <f>IF(OR(F10 = "UNPLAYED", F10 = "XXX"), F10, -1* F10)</f>
        <v>UNPLAYED</v>
      </c>
      <c r="K6" s="1" t="str">
        <f>IF(OR(F11 = "UNPLAYED", F11 = "XXX"), F11, -1* F11)</f>
        <v>UNPLAYED</v>
      </c>
    </row>
    <row r="7" spans="1:11" ht="25.5" x14ac:dyDescent="0.55000000000000004">
      <c r="A7" s="10" t="s">
        <v>42</v>
      </c>
      <c r="B7" s="3" t="s">
        <v>4</v>
      </c>
      <c r="C7" s="2" t="s">
        <v>3</v>
      </c>
      <c r="D7" s="3" t="s">
        <v>4</v>
      </c>
      <c r="E7" s="3" t="s">
        <v>4</v>
      </c>
      <c r="F7" s="2" t="s">
        <v>3</v>
      </c>
      <c r="G7" s="2" t="s">
        <v>3</v>
      </c>
      <c r="H7" s="4" t="str">
        <f>IF(OR(G8 = "UNPLAYED", G8 = "XXX"), G8, -1* G8)</f>
        <v>UNPLAYED</v>
      </c>
      <c r="I7" s="4" t="str">
        <f>IF(OR(G9 = "UNPLAYED", G9 = "XXX"), G9, -1* G9)</f>
        <v>UNPLAYED</v>
      </c>
      <c r="J7" s="1" t="str">
        <f>IF(OR(G10 = "UNPLAYED", G10 = "XXX"), G10, -1* G10)</f>
        <v>UNPLAYED</v>
      </c>
      <c r="K7" s="1" t="str">
        <f>IF(OR(G11 = "UNPLAYED", G11 = "XXX"), G11, -1* G11)</f>
        <v>UNPLAYED</v>
      </c>
    </row>
    <row r="8" spans="1:11" ht="25.5" x14ac:dyDescent="0.55000000000000004">
      <c r="A8" s="10" t="s">
        <v>49</v>
      </c>
      <c r="B8" s="3" t="s">
        <v>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  <c r="H8" s="2" t="s">
        <v>3</v>
      </c>
      <c r="I8" s="4" t="str">
        <f>IF(OR(H9 = "UNPLAYED", H9 = "XXX"), H9, -1* H9)</f>
        <v>XXX</v>
      </c>
      <c r="J8" s="4" t="str">
        <f>IF(OR(H10 = "UNPLAYED", H10 = "XXX"), H10, -1* H10)</f>
        <v>UNPLAYED</v>
      </c>
      <c r="K8" s="1" t="str">
        <f>IF(OR(H11 = "UNPLAYED", H11 = "XXX"), H11, -1* H11)</f>
        <v>XXX</v>
      </c>
    </row>
    <row r="9" spans="1:11" ht="25.5" x14ac:dyDescent="0.55000000000000004">
      <c r="A9" s="1" t="s">
        <v>0</v>
      </c>
      <c r="B9" s="2" t="s">
        <v>3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4</v>
      </c>
      <c r="H9" s="2" t="s">
        <v>3</v>
      </c>
      <c r="I9" s="2" t="s">
        <v>3</v>
      </c>
      <c r="J9" s="4" t="str">
        <f>IF(OR(I10 = "UNPLAYED", I10 = "XXX"), I10, -1* I10)</f>
        <v>UNPLAYED</v>
      </c>
      <c r="K9" s="4" t="str">
        <f>IF(OR(I11 = "UNPLAYED", I11 = "XXX"), I11, -1* I11)</f>
        <v>UNPLAYED</v>
      </c>
    </row>
    <row r="10" spans="1:11" ht="25.5" x14ac:dyDescent="0.55000000000000004">
      <c r="A10" s="1" t="s">
        <v>1</v>
      </c>
      <c r="B10" s="2" t="s">
        <v>3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2" t="s">
        <v>3</v>
      </c>
      <c r="K10" s="4" t="str">
        <f>IF(OR(J11 = "UNPLAYED", J11 = "XXX"), J11, -1* J11)</f>
        <v>XXX</v>
      </c>
    </row>
    <row r="11" spans="1:11" ht="25.5" x14ac:dyDescent="0.55000000000000004">
      <c r="A11" s="1" t="s">
        <v>2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2" t="s">
        <v>3</v>
      </c>
      <c r="I11" s="3" t="s">
        <v>4</v>
      </c>
      <c r="J11" s="2" t="s">
        <v>3</v>
      </c>
      <c r="K11" s="2" t="s">
        <v>3</v>
      </c>
    </row>
    <row r="12" spans="1:11" x14ac:dyDescent="0.55000000000000004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55000000000000004"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8592-A874-463A-9311-9DED4CF77908}">
  <dimension ref="A1:M15"/>
  <sheetViews>
    <sheetView workbookViewId="0">
      <selection activeCell="K24" sqref="K24"/>
    </sheetView>
  </sheetViews>
  <sheetFormatPr defaultRowHeight="14.4" x14ac:dyDescent="0.55000000000000004"/>
  <sheetData>
    <row r="1" spans="1:13" ht="14.7" thickBot="1" x14ac:dyDescent="0.6">
      <c r="A1" s="6" t="s">
        <v>15</v>
      </c>
      <c r="B1" s="6" t="s">
        <v>5</v>
      </c>
      <c r="C1" s="6" t="s">
        <v>6</v>
      </c>
      <c r="H1" s="7" t="s">
        <v>41</v>
      </c>
      <c r="I1" s="8" t="s">
        <v>25</v>
      </c>
      <c r="J1" s="8" t="s">
        <v>26</v>
      </c>
    </row>
    <row r="2" spans="1:13" ht="14.7" thickBot="1" x14ac:dyDescent="0.6">
      <c r="A2" s="9" t="s">
        <v>24</v>
      </c>
      <c r="B2" s="9" t="s">
        <v>7</v>
      </c>
      <c r="C2" s="9" t="s">
        <v>9</v>
      </c>
      <c r="H2">
        <v>2</v>
      </c>
      <c r="I2" s="8" t="s">
        <v>7</v>
      </c>
      <c r="J2" s="5" t="s">
        <v>11</v>
      </c>
    </row>
    <row r="3" spans="1:13" ht="14.7" thickBot="1" x14ac:dyDescent="0.6">
      <c r="A3" s="9" t="s">
        <v>19</v>
      </c>
      <c r="B3" s="9" t="s">
        <v>17</v>
      </c>
      <c r="C3" s="9" t="s">
        <v>18</v>
      </c>
      <c r="H3">
        <v>1</v>
      </c>
      <c r="I3" s="5" t="s">
        <v>9</v>
      </c>
      <c r="J3" s="5" t="s">
        <v>27</v>
      </c>
    </row>
    <row r="4" spans="1:13" ht="14.7" thickBot="1" x14ac:dyDescent="0.6">
      <c r="A4" s="9" t="s">
        <v>23</v>
      </c>
      <c r="B4" s="9" t="s">
        <v>14</v>
      </c>
      <c r="C4" s="9" t="s">
        <v>20</v>
      </c>
      <c r="H4">
        <v>1.5</v>
      </c>
      <c r="I4" s="5" t="s">
        <v>20</v>
      </c>
      <c r="J4" s="5" t="s">
        <v>28</v>
      </c>
      <c r="M4" s="5" t="s">
        <v>46</v>
      </c>
    </row>
    <row r="5" spans="1:13" ht="14.7" thickBot="1" x14ac:dyDescent="0.6">
      <c r="A5" s="9" t="s">
        <v>48</v>
      </c>
      <c r="B5" s="9" t="s">
        <v>8</v>
      </c>
      <c r="C5" s="9" t="s">
        <v>21</v>
      </c>
      <c r="H5">
        <v>2</v>
      </c>
      <c r="I5" s="5" t="s">
        <v>14</v>
      </c>
      <c r="J5" s="5" t="s">
        <v>29</v>
      </c>
    </row>
    <row r="6" spans="1:13" ht="14.7" thickBot="1" x14ac:dyDescent="0.6">
      <c r="A6" s="9" t="s">
        <v>47</v>
      </c>
      <c r="B6" s="9" t="s">
        <v>7</v>
      </c>
      <c r="C6" s="9" t="s">
        <v>22</v>
      </c>
      <c r="H6">
        <v>1.5</v>
      </c>
      <c r="I6" s="5" t="s">
        <v>8</v>
      </c>
      <c r="J6" s="5" t="s">
        <v>30</v>
      </c>
      <c r="M6" t="s">
        <v>46</v>
      </c>
    </row>
    <row r="7" spans="1:13" ht="14.7" thickBot="1" x14ac:dyDescent="0.6">
      <c r="A7" s="10" t="s">
        <v>42</v>
      </c>
      <c r="B7" s="10" t="s">
        <v>13</v>
      </c>
      <c r="C7" s="9" t="s">
        <v>12</v>
      </c>
      <c r="H7">
        <v>2</v>
      </c>
      <c r="I7" s="5" t="s">
        <v>17</v>
      </c>
      <c r="J7" s="5" t="s">
        <v>43</v>
      </c>
    </row>
    <row r="8" spans="1:13" x14ac:dyDescent="0.55000000000000004">
      <c r="A8" s="10" t="s">
        <v>49</v>
      </c>
      <c r="B8" s="10" t="s">
        <v>14</v>
      </c>
      <c r="C8" s="10" t="s">
        <v>17</v>
      </c>
      <c r="H8">
        <v>1</v>
      </c>
      <c r="I8" s="5" t="s">
        <v>21</v>
      </c>
    </row>
    <row r="9" spans="1:13" ht="14.7" thickBot="1" x14ac:dyDescent="0.6">
      <c r="A9" s="10" t="s">
        <v>53</v>
      </c>
      <c r="B9" s="10" t="s">
        <v>18</v>
      </c>
      <c r="C9" s="10" t="s">
        <v>13</v>
      </c>
      <c r="H9">
        <v>2</v>
      </c>
      <c r="I9" s="5" t="s">
        <v>18</v>
      </c>
    </row>
    <row r="10" spans="1:13" ht="14.7" thickBot="1" x14ac:dyDescent="0.6">
      <c r="B10" s="9" t="s">
        <v>22</v>
      </c>
      <c r="C10" s="12"/>
      <c r="H10">
        <v>2</v>
      </c>
      <c r="I10" s="5" t="s">
        <v>13</v>
      </c>
    </row>
    <row r="11" spans="1:13" ht="14.7" thickBot="1" x14ac:dyDescent="0.6">
      <c r="B11" s="9" t="s">
        <v>20</v>
      </c>
      <c r="H11">
        <v>1.5</v>
      </c>
      <c r="I11" s="5" t="s">
        <v>12</v>
      </c>
      <c r="M11" t="s">
        <v>54</v>
      </c>
    </row>
    <row r="12" spans="1:13" x14ac:dyDescent="0.55000000000000004">
      <c r="B12" s="10" t="s">
        <v>8</v>
      </c>
      <c r="H12" s="11">
        <v>1.5</v>
      </c>
      <c r="I12" s="5" t="s">
        <v>22</v>
      </c>
      <c r="M12" t="s">
        <v>51</v>
      </c>
    </row>
    <row r="13" spans="1:13" x14ac:dyDescent="0.55000000000000004">
      <c r="B13" s="10" t="s">
        <v>10</v>
      </c>
    </row>
    <row r="14" spans="1:13" x14ac:dyDescent="0.55000000000000004">
      <c r="B14" s="10" t="s">
        <v>12</v>
      </c>
    </row>
    <row r="15" spans="1:13" x14ac:dyDescent="0.55000000000000004">
      <c r="A15" s="10" t="s">
        <v>45</v>
      </c>
      <c r="B15" s="10" t="s">
        <v>44</v>
      </c>
      <c r="C1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BC70-835A-40D4-BE4F-1F491AA8373B}">
  <dimension ref="A1:I3"/>
  <sheetViews>
    <sheetView workbookViewId="0">
      <selection activeCell="H12" sqref="H12"/>
    </sheetView>
  </sheetViews>
  <sheetFormatPr defaultRowHeight="14.4" x14ac:dyDescent="0.55000000000000004"/>
  <cols>
    <col min="1" max="1" width="9.734375" bestFit="1" customWidth="1"/>
  </cols>
  <sheetData>
    <row r="1" spans="1:9" x14ac:dyDescent="0.55000000000000004">
      <c r="A1" t="s">
        <v>73</v>
      </c>
      <c r="B1" t="s">
        <v>74</v>
      </c>
      <c r="C1" t="s">
        <v>74</v>
      </c>
      <c r="G1" t="s">
        <v>71</v>
      </c>
      <c r="I1" t="s">
        <v>59</v>
      </c>
    </row>
    <row r="2" spans="1:9" x14ac:dyDescent="0.55000000000000004">
      <c r="A2" t="s">
        <v>76</v>
      </c>
      <c r="B2" t="s">
        <v>75</v>
      </c>
      <c r="C2" t="s">
        <v>8</v>
      </c>
      <c r="G2" t="s">
        <v>72</v>
      </c>
      <c r="I2">
        <f>COUNTA(A2:A22) + 0.5 * COUNTA(G2:G22)</f>
        <v>2</v>
      </c>
    </row>
    <row r="3" spans="1:9" x14ac:dyDescent="0.55000000000000004">
      <c r="G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C9DF-CBF0-44E0-B9C4-2CFC23F872E2}">
  <dimension ref="A1:F7"/>
  <sheetViews>
    <sheetView workbookViewId="0">
      <selection activeCell="H5" sqref="H5"/>
    </sheetView>
  </sheetViews>
  <sheetFormatPr defaultRowHeight="14.4" x14ac:dyDescent="0.55000000000000004"/>
  <sheetData>
    <row r="1" spans="1:6" x14ac:dyDescent="0.55000000000000004">
      <c r="A1" t="s">
        <v>36</v>
      </c>
      <c r="B1">
        <v>16</v>
      </c>
    </row>
    <row r="2" spans="1:6" x14ac:dyDescent="0.55000000000000004">
      <c r="A2" t="s">
        <v>37</v>
      </c>
      <c r="B2">
        <v>1.75</v>
      </c>
    </row>
    <row r="4" spans="1:6" x14ac:dyDescent="0.55000000000000004">
      <c r="B4" t="s">
        <v>34</v>
      </c>
      <c r="C4" t="s">
        <v>35</v>
      </c>
      <c r="D4" t="s">
        <v>38</v>
      </c>
      <c r="E4" t="s">
        <v>39</v>
      </c>
      <c r="F4" t="s">
        <v>40</v>
      </c>
    </row>
    <row r="5" spans="1:6" x14ac:dyDescent="0.55000000000000004">
      <c r="A5" t="s">
        <v>31</v>
      </c>
      <c r="B5">
        <f>COUNTA(TeamInfo!F13:F18) + COUNTA(TeamInfo!G13:G20)</f>
        <v>0</v>
      </c>
      <c r="C5">
        <f>B5 * E5 /2</f>
        <v>0</v>
      </c>
      <c r="D5">
        <f>C5 / $B$1</f>
        <v>0</v>
      </c>
      <c r="E5">
        <f>(B5 - 1 - 2) * 2</f>
        <v>-6</v>
      </c>
      <c r="F5">
        <f>E5 / $B$1</f>
        <v>-0.375</v>
      </c>
    </row>
    <row r="6" spans="1:6" x14ac:dyDescent="0.55000000000000004">
      <c r="A6" t="s">
        <v>32</v>
      </c>
      <c r="B6">
        <f>_xlfn.CEILING.MATH((0.75*COUNTA(TeamInfo!F13:F18)+0.25*COUNTA(TeamInfo!G13:G20)))</f>
        <v>0</v>
      </c>
      <c r="C6">
        <f>B6 * (B6 - 1 - 1) /2 * 2</f>
        <v>0</v>
      </c>
      <c r="D6">
        <f t="shared" ref="D6:D7" si="0">C6 / $B$1</f>
        <v>0</v>
      </c>
      <c r="E6">
        <f>(B6 - 1 - 1) * 2</f>
        <v>-4</v>
      </c>
      <c r="F6">
        <f t="shared" ref="F6:F7" si="1">E6 / $B$1</f>
        <v>-0.25</v>
      </c>
    </row>
    <row r="7" spans="1:6" x14ac:dyDescent="0.55000000000000004">
      <c r="A7" t="s">
        <v>33</v>
      </c>
      <c r="B7">
        <v>6</v>
      </c>
      <c r="C7">
        <f t="shared" ref="C7" si="2">B7 * (B7 - 1) /2 * 2</f>
        <v>30</v>
      </c>
      <c r="D7">
        <f t="shared" si="0"/>
        <v>1.875</v>
      </c>
      <c r="E7">
        <f>(B7 - 1) * 2</f>
        <v>10</v>
      </c>
      <c r="F7">
        <f t="shared" si="1"/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HomeGames</vt:lpstr>
      <vt:lpstr>AwayGames</vt:lpstr>
      <vt:lpstr>Disallowed games</vt:lpstr>
      <vt:lpstr>TeamInfo</vt:lpstr>
      <vt:lpstr>AwayGamesBig</vt:lpstr>
      <vt:lpstr>notes</vt:lpstr>
      <vt:lpstr>spring tourney</vt:lpstr>
      <vt:lpstr>GameCalculator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JACKattackW wilkins</dc:creator>
  <cp:lastModifiedBy>JACKattackW wilkins</cp:lastModifiedBy>
  <dcterms:created xsi:type="dcterms:W3CDTF">2025-10-14T21:59:57Z</dcterms:created>
  <dcterms:modified xsi:type="dcterms:W3CDTF">2026-03-27T02:13:12Z</dcterms:modified>
</cp:coreProperties>
</file>