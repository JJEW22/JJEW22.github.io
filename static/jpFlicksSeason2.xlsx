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1075" documentId="8_{867DBCD6-7AF9-4EBF-899F-19C6CCA2DE6F}" xr6:coauthVersionLast="47" xr6:coauthVersionMax="47" xr10:uidLastSave="{7EE9663C-5C1F-485F-A47E-524B0EA66088}"/>
  <bookViews>
    <workbookView xWindow="-96" yWindow="-96" windowWidth="23232" windowHeight="12432" firstSheet="2" activeTab="6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spring tourney" sheetId="8" r:id="rId7"/>
    <sheet name="GameCalculator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" i="8" l="1"/>
  <c r="S17" i="8"/>
  <c r="U17" i="8"/>
  <c r="V17" i="8"/>
  <c r="W17" i="8"/>
  <c r="T17" i="8"/>
  <c r="W13" i="8"/>
  <c r="W15" i="8" s="1"/>
  <c r="V13" i="8"/>
  <c r="T13" i="8"/>
  <c r="L2" i="8"/>
  <c r="J2" i="8"/>
  <c r="L18" i="8"/>
  <c r="O17" i="8" s="1"/>
  <c r="T7" i="8"/>
  <c r="U7" i="8"/>
  <c r="V7" i="8"/>
  <c r="K2" i="8"/>
  <c r="U6" i="8"/>
  <c r="U13" i="8" s="1"/>
  <c r="V6" i="8"/>
  <c r="O7" i="8"/>
  <c r="P7" i="8"/>
  <c r="R7" i="8"/>
  <c r="S7" i="8"/>
  <c r="Q7" i="8"/>
  <c r="P6" i="8"/>
  <c r="P13" i="8" s="1"/>
  <c r="P15" i="8" s="1"/>
  <c r="Q6" i="8"/>
  <c r="Q13" i="8" s="1"/>
  <c r="Q15" i="8" s="1"/>
  <c r="R6" i="8"/>
  <c r="S6" i="8"/>
  <c r="T6" i="8"/>
  <c r="O6" i="8"/>
  <c r="K10" i="2"/>
  <c r="K9" i="2"/>
  <c r="J9" i="2"/>
  <c r="K8" i="2"/>
  <c r="J8" i="2"/>
  <c r="I8" i="2"/>
  <c r="K7" i="2"/>
  <c r="J7" i="2"/>
  <c r="I7" i="2"/>
  <c r="H7" i="2"/>
  <c r="K6" i="2"/>
  <c r="J6" i="2"/>
  <c r="I6" i="2"/>
  <c r="H6" i="2"/>
  <c r="G6" i="2"/>
  <c r="K5" i="2"/>
  <c r="J5" i="2"/>
  <c r="I5" i="2"/>
  <c r="H5" i="2"/>
  <c r="G5" i="2"/>
  <c r="F5" i="2"/>
  <c r="K4" i="2"/>
  <c r="J4" i="2"/>
  <c r="I4" i="2"/>
  <c r="H4" i="2"/>
  <c r="G4" i="2"/>
  <c r="F4" i="2"/>
  <c r="E4" i="2"/>
  <c r="K3" i="2"/>
  <c r="J3" i="2"/>
  <c r="I3" i="2"/>
  <c r="H3" i="2"/>
  <c r="G3" i="2"/>
  <c r="F3" i="2"/>
  <c r="D3" i="2"/>
  <c r="K2" i="2"/>
  <c r="J2" i="2"/>
  <c r="I2" i="2"/>
  <c r="H2" i="2"/>
  <c r="F2" i="2"/>
  <c r="E2" i="2"/>
  <c r="D2" i="2"/>
  <c r="C2" i="2"/>
  <c r="K10" i="1"/>
  <c r="J9" i="1"/>
  <c r="K9" i="1"/>
  <c r="I8" i="1"/>
  <c r="J8" i="1"/>
  <c r="K8" i="1"/>
  <c r="I7" i="1"/>
  <c r="J7" i="1"/>
  <c r="K7" i="1"/>
  <c r="H7" i="1"/>
  <c r="H6" i="1"/>
  <c r="I6" i="1"/>
  <c r="J6" i="1"/>
  <c r="K6" i="1"/>
  <c r="G6" i="1"/>
  <c r="G5" i="1"/>
  <c r="H5" i="1"/>
  <c r="I5" i="1"/>
  <c r="J5" i="1"/>
  <c r="K5" i="1"/>
  <c r="F5" i="1"/>
  <c r="F4" i="1"/>
  <c r="G4" i="1"/>
  <c r="H4" i="1"/>
  <c r="I4" i="1"/>
  <c r="J4" i="1"/>
  <c r="K4" i="1"/>
  <c r="E4" i="1"/>
  <c r="E3" i="1"/>
  <c r="F3" i="1"/>
  <c r="G3" i="1"/>
  <c r="H3" i="1"/>
  <c r="I3" i="1"/>
  <c r="J3" i="1"/>
  <c r="K3" i="1"/>
  <c r="D3" i="1"/>
  <c r="C2" i="1"/>
  <c r="D2" i="1"/>
  <c r="E2" i="1"/>
  <c r="F2" i="1"/>
  <c r="G2" i="1"/>
  <c r="H2" i="1"/>
  <c r="I2" i="1"/>
  <c r="J2" i="1"/>
  <c r="K2" i="1"/>
  <c r="C11" i="7"/>
  <c r="B11" i="7"/>
  <c r="C10" i="7"/>
  <c r="B10" i="7"/>
  <c r="C9" i="7"/>
  <c r="B9" i="7"/>
  <c r="C8" i="7"/>
  <c r="B8" i="7"/>
  <c r="B7" i="7"/>
  <c r="C6" i="7"/>
  <c r="B6" i="7"/>
  <c r="B5" i="7"/>
  <c r="C4" i="7"/>
  <c r="B4" i="7"/>
  <c r="C3" i="7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Q17" i="8" l="1"/>
  <c r="P17" i="8"/>
  <c r="R13" i="8"/>
  <c r="R15" i="8" s="1"/>
  <c r="S13" i="8"/>
  <c r="S15" i="8" s="1"/>
  <c r="T15" i="8"/>
  <c r="O13" i="8"/>
  <c r="O15" i="8" s="1"/>
  <c r="V15" i="8"/>
  <c r="U15" i="8"/>
  <c r="C7" i="7"/>
  <c r="D7" i="7" s="1"/>
  <c r="G2" i="2"/>
  <c r="B2" i="7"/>
  <c r="D2" i="7" s="1"/>
  <c r="D8" i="7"/>
  <c r="C5" i="7"/>
  <c r="D5" i="7" s="1"/>
  <c r="E3" i="2"/>
  <c r="B3" i="7"/>
  <c r="D3" i="7" s="1"/>
  <c r="D4" i="7"/>
  <c r="D9" i="7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C5" i="4" l="1"/>
  <c r="D5" i="4" s="1"/>
  <c r="C6" i="4"/>
  <c r="D6" i="4" s="1"/>
</calcChain>
</file>

<file path=xl/sharedStrings.xml><?xml version="1.0" encoding="utf-8"?>
<sst xmlns="http://schemas.openxmlformats.org/spreadsheetml/2006/main" count="426" uniqueCount="130">
  <si>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</si>
  <si>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</si>
  <si>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</si>
  <si>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</si>
  <si>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</si>
  <si>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</si>
  <si>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</si>
  <si>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</si>
  <si>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</si>
  <si>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</si>
  <si>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</si>
  <si>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</si>
  <si>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</si>
  <si>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</si>
  <si>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</si>
  <si>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</si>
  <si>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</si>
  <si>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</si>
  <si>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</si>
  <si>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</si>
  <si>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</si>
  <si>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</si>
  <si>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</si>
  <si>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</si>
  <si>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</si>
  <si>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</si>
  <si>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</si>
  <si>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</si>
  <si>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</si>
  <si>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</si>
  <si>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</si>
  <si>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</si>
  <si>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</si>
  <si>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</si>
  <si>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</si>
  <si>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</si>
  <si>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</si>
  <si>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</si>
  <si>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</si>
  <si>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</si>
  <si>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</si>
  <si>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</si>
  <si>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</si>
  <si>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</si>
  <si>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</si>
  <si>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</si>
  <si>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</si>
  <si>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</si>
  <si>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</si>
  <si>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</si>
  <si>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</si>
  <si>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</si>
  <si>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</si>
  <si>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</si>
  <si>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</si>
  <si>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</si>
  <si>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</si>
  <si>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</si>
  <si>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</si>
  <si>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</si>
  <si>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</si>
  <si>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</si>
  <si>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</si>
  <si>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</si>
  <si>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</si>
  <si>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</si>
  <si>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</si>
  <si>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</si>
  <si>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</si>
  <si>
    <t>F</t>
  </si>
  <si>
    <t>-F</t>
  </si>
  <si>
    <t>random</t>
  </si>
  <si>
    <t>Na'ama</t>
  </si>
  <si>
    <t>Team name</t>
  </si>
  <si>
    <t>player</t>
  </si>
  <si>
    <t>Nick</t>
  </si>
  <si>
    <t>Pill Dickle</t>
  </si>
  <si>
    <t>Nawty</t>
  </si>
  <si>
    <t>Ellie</t>
  </si>
  <si>
    <t>jared</t>
  </si>
  <si>
    <t>likely</t>
  </si>
  <si>
    <t>out</t>
  </si>
  <si>
    <t>katelyn</t>
  </si>
  <si>
    <t>kato</t>
  </si>
  <si>
    <t>Tyler</t>
  </si>
  <si>
    <t>Josh</t>
  </si>
  <si>
    <t>will</t>
  </si>
  <si>
    <t>Lisa</t>
  </si>
  <si>
    <t>max</t>
  </si>
  <si>
    <t>X</t>
  </si>
  <si>
    <t>XX</t>
  </si>
  <si>
    <t>format</t>
  </si>
  <si>
    <t>rr</t>
  </si>
  <si>
    <t>table</t>
  </si>
  <si>
    <t>rr games</t>
  </si>
  <si>
    <t>table games</t>
  </si>
  <si>
    <t>bracket size</t>
  </si>
  <si>
    <t>total games</t>
  </si>
  <si>
    <t>time per game</t>
  </si>
  <si>
    <t>total time</t>
  </si>
  <si>
    <t>Elyse</t>
  </si>
  <si>
    <t>Anand</t>
  </si>
  <si>
    <t>dbl bracket</t>
  </si>
  <si>
    <t>Anand roomate</t>
  </si>
  <si>
    <t>accelerated rules:</t>
  </si>
  <si>
    <t>each player will only have 4 discs instead of 6</t>
  </si>
  <si>
    <t>shot %</t>
  </si>
  <si>
    <t>accelerated</t>
  </si>
  <si>
    <t>kendall</t>
  </si>
  <si>
    <t>clare</t>
  </si>
  <si>
    <t>accell play in</t>
  </si>
  <si>
    <t>time constraint</t>
  </si>
  <si>
    <t>None</t>
  </si>
  <si>
    <t>Dina</t>
  </si>
  <si>
    <t>min</t>
  </si>
  <si>
    <t>dbl bracket games</t>
  </si>
  <si>
    <t>first to winning by 75 or 4 rounds with minimum of 2 rounds. Goal is for games to last 15 minutes</t>
  </si>
  <si>
    <t>moll ball</t>
  </si>
  <si>
    <t>Shake Shack</t>
  </si>
  <si>
    <t>The Sun also Rises</t>
  </si>
  <si>
    <t>Jenny</t>
  </si>
  <si>
    <t>Upekha</t>
  </si>
  <si>
    <t>Abhishek</t>
  </si>
  <si>
    <t>Frolicc</t>
  </si>
  <si>
    <t>Annie</t>
  </si>
  <si>
    <t>Edger Team</t>
  </si>
  <si>
    <t>Jayhawks</t>
  </si>
  <si>
    <t>This Old Store</t>
  </si>
  <si>
    <t>XXXX</t>
  </si>
  <si>
    <t>Milk and Honey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</si>
</sst>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0" fontId="1" fillId="3" borderId="0" xfId="0" quotePrefix="1" applyFont="1" applyFill="1" applyAlignment="1">
      <alignment wrapText="1"/>
    </xf>
    <xf numFmtId="10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3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Q13"/>
  <sheetViews>
    <sheetView workbookViewId="0">
      <selection activeCell="O9" sqref="O9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7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7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95</v>
      </c>
      <c r="F2" s="4" t="str">
        <f>IF(OR(B6 = "UNPLAYED", B6 = "XXX"), B6, IF(B6 = "F", "-F", IF(B6 = "-F", "F", -1*B6)))</f>
        <v>XXX</v>
      </c>
      <c r="G2" s="4">
        <f>IF(OR(B7 = "UNPLAYED", B7 = "XXX"), B7, IF(B7 = "F", "-F", IF(B7 = "-F", "F", -1*B7)))</f>
        <v>10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55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7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IF(C4 = "F", "-F", IF(C4 = "-F", "F", -1*C4)))</f>
        <v>60</v>
      </c>
      <c r="E3" s="4">
        <f>IF(OR(C5 = "UNPLAYED", C5 = "XXX"), C5, IF(C5 = "F", "-F", IF(C5 = "-F", "F", -1*C5)))</f>
        <v>100</v>
      </c>
      <c r="F3" s="4">
        <f>IF(OR(C6 = "UNPLAYED", C6 = "XXX"), C6, IF(C6 = "F", "-F", IF(C6 = "-F", "F", -1*C6)))</f>
        <v>-55</v>
      </c>
      <c r="G3" s="4">
        <f>IF(OR(C7 = "UNPLAYED", C7 = "XXX"), C7, IF(C7 = "F", "-F", IF(C7 = "-F", "F", -1*C7)))</f>
        <v>-50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-75</v>
      </c>
      <c r="K3" s="4" t="str">
        <f>IF(OR(C11 = "UNPLAYED", C11 = "XXX"), C11, IF(C11 = "F", "-F", IF(C11 = "-F", "F", -1*C11)))</f>
        <v>F</v>
      </c>
      <c r="O3" s="4"/>
    </row>
    <row r="4" spans="1:17" ht="25.8" thickBot="1" x14ac:dyDescent="0.6">
      <c r="A4" s="9" t="s">
        <v>23</v>
      </c>
      <c r="B4" s="14" t="s">
        <v>70</v>
      </c>
      <c r="C4" s="3">
        <v>-60</v>
      </c>
      <c r="D4" s="2" t="s">
        <v>3</v>
      </c>
      <c r="E4" s="4" t="str">
        <f>IF(OR(D5 = "UNPLAYED", D5 = "XXX"), D5, IF(D5 = "F", "-F", IF(D5 = "-F", "F", -1*D5)))</f>
        <v>-F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UNPLAYED</v>
      </c>
      <c r="K4" s="4" t="str">
        <f>IF(OR(D11 = "UNPLAYED", D11 = "XXX"), D11, IF(D11 = "F", "-F", IF(D11 = "-F", "F", -1*D11)))</f>
        <v>XXX</v>
      </c>
      <c r="O4" s="4"/>
    </row>
    <row r="5" spans="1:17" ht="25.8" thickBot="1" x14ac:dyDescent="0.6">
      <c r="A5" s="9" t="s">
        <v>48</v>
      </c>
      <c r="B5" s="3">
        <v>-95</v>
      </c>
      <c r="C5" s="14">
        <v>-100</v>
      </c>
      <c r="D5" s="3" t="s">
        <v>69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F</v>
      </c>
      <c r="H5" s="4">
        <f>IF(OR(E8 = "UNPLAYED", E8 = "XXX"), E8, IF(E8 = "F", "-F", IF(E8 = "-F", "F", -1*E8)))</f>
        <v>-65</v>
      </c>
      <c r="I5" s="4">
        <f>IF(OR(E9 = "UNPLAYED", E9 = "XXX"), E9, IF(E9 = "F", "-F", IF(E9 = "-F", "F", -1*E9)))</f>
        <v>-30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F</v>
      </c>
      <c r="O5" s="4"/>
    </row>
    <row r="6" spans="1:17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-40</v>
      </c>
      <c r="H6" s="4">
        <f>IF(OR(F8 = "UNPLAYED", F8 = "XXX"), F8, IF(F8 = "F", "-F", IF(F8 = "-F", "F", -1*F8)))</f>
        <v>100</v>
      </c>
      <c r="I6" s="4" t="str">
        <f>IF(OR(F9 = "UNPLAYED", F9 = "XXX"), F9, IF(F9 = "F", "-F", IF(F9 = "-F", "F", -1*F9)))</f>
        <v>F</v>
      </c>
      <c r="J6" s="4">
        <f>IF(OR(F10 = "UNPLAYED", F10 = "XXX"), F10, IF(F10 = "F", "-F", IF(F10 = "-F", "F", -1*F10)))</f>
        <v>15</v>
      </c>
      <c r="K6" s="4" t="str">
        <f>IF(OR(F11 = "UNPLAYED", F11 = "XXX"), F11, IF(F11 = "F", "-F", IF(F11 = "-F", "F", -1*F11)))</f>
        <v>F</v>
      </c>
      <c r="O6" s="4"/>
    </row>
    <row r="7" spans="1:17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14" t="s">
        <v>70</v>
      </c>
      <c r="F7" s="3">
        <v>40</v>
      </c>
      <c r="G7" s="2" t="s">
        <v>3</v>
      </c>
      <c r="H7" s="4">
        <f>IF(OR(G8 = "UNPLAYED", G8 = "XXX"), G8, IF(G8 = "F", "-F", IF(G8 = "-F", "F", -1*G8)))</f>
        <v>75</v>
      </c>
      <c r="I7" s="4" t="str">
        <f>IF(OR(G9 = "UNPLAYED", G9 = "XXX"), G9, IF(G9 = "F", "-F", IF(G9 = "-F", "F", -1*G9)))</f>
        <v>XXX</v>
      </c>
      <c r="J7" s="4">
        <f>IF(OR(G10 = "UNPLAYED", G10 = "XXX"), G10, IF(G10 = "F", "-F", IF(G10 = "-F", "F", -1*G10)))</f>
        <v>-20</v>
      </c>
      <c r="K7" s="4" t="str">
        <f>IF(OR(G11 = "UNPLAYED", G11 = "XXX"), G11, IF(G11 = "F", "-F", IF(G11 = "-F", "F", -1*G11)))</f>
        <v>XXX</v>
      </c>
      <c r="O7" s="4"/>
    </row>
    <row r="8" spans="1:17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>
        <v>65</v>
      </c>
      <c r="F8" s="3">
        <v>-100</v>
      </c>
      <c r="G8" s="3">
        <v>-75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  <c r="O8" s="4"/>
    </row>
    <row r="9" spans="1:17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14" t="s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-90</v>
      </c>
      <c r="K9" s="4">
        <f>IF(OR(I11 = "UNPLAYED", I11 = "XXX"), I11, IF(I11 = "F", "-F", IF(I11 = "-F", "F", -1*I11)))</f>
        <v>15</v>
      </c>
      <c r="O9" s="4"/>
    </row>
    <row r="10" spans="1:17" ht="25.5" x14ac:dyDescent="0.55000000000000004">
      <c r="A10" s="1" t="s">
        <v>55</v>
      </c>
      <c r="B10" s="2" t="s">
        <v>3</v>
      </c>
      <c r="C10" s="3">
        <v>75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IF(J11 = "F", "-F", IF(J11 = "-F", "F", -1*J11)))</f>
        <v>100</v>
      </c>
      <c r="O10" s="4"/>
      <c r="P10" s="4"/>
      <c r="Q10" s="4"/>
    </row>
    <row r="11" spans="1:17" ht="25.5" x14ac:dyDescent="0.55000000000000004">
      <c r="A11" s="1" t="s">
        <v>56</v>
      </c>
      <c r="B11" s="3" t="s">
        <v>4</v>
      </c>
      <c r="C11" s="14" t="s">
        <v>70</v>
      </c>
      <c r="D11" s="2" t="s">
        <v>3</v>
      </c>
      <c r="E11" s="14" t="s">
        <v>70</v>
      </c>
      <c r="F11" s="14" t="s">
        <v>70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  <c r="O11" s="4"/>
      <c r="P11" s="4"/>
      <c r="Q11" s="4"/>
    </row>
    <row r="12" spans="1:17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O12" s="4"/>
      <c r="P12" s="4"/>
      <c r="Q12" s="4"/>
    </row>
    <row r="13" spans="1:17" x14ac:dyDescent="0.55000000000000004">
      <c r="K13" s="1"/>
    </row>
  </sheetData>
  <conditionalFormatting sqref="B6:D7 F6:H7">
    <cfRule type="cellIs" dxfId="29" priority="13" operator="equal">
      <formula>"UNPLAYED"</formula>
    </cfRule>
    <cfRule type="cellIs" dxfId="28" priority="14" operator="equal">
      <formula>"XXX"</formula>
    </cfRule>
  </conditionalFormatting>
  <conditionalFormatting sqref="B2:K5 O3:O9 G6:K6 H7:K7 B8:K8 J9:K9 B9:B10 K10 O10:Q12">
    <cfRule type="cellIs" dxfId="27" priority="7" operator="equal">
      <formula>"UNPLAYED"</formula>
    </cfRule>
    <cfRule type="cellIs" dxfId="26" priority="8" operator="equal">
      <formula>"XXX"</formula>
    </cfRule>
  </conditionalFormatting>
  <conditionalFormatting sqref="C9">
    <cfRule type="cellIs" dxfId="25" priority="9" operator="equal">
      <formula>"UNPLAYED"</formula>
    </cfRule>
    <cfRule type="cellIs" dxfId="24" priority="10" operator="equal">
      <formula>"XXX"</formula>
    </cfRule>
  </conditionalFormatting>
  <conditionalFormatting sqref="E7">
    <cfRule type="cellIs" dxfId="23" priority="5" operator="equal">
      <formula>"UNPLAYED"</formula>
    </cfRule>
    <cfRule type="cellIs" dxfId="22" priority="6" operator="equal">
      <formula>"XXX"</formula>
    </cfRule>
  </conditionalFormatting>
  <conditionalFormatting sqref="G11">
    <cfRule type="cellIs" dxfId="21" priority="3" operator="equal">
      <formula>"UNPLAYED"</formula>
    </cfRule>
    <cfRule type="cellIs" dxfId="20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D14" sqref="D14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100</v>
      </c>
      <c r="F2" s="4" t="str">
        <f>IF(OR(B6 = "UNPLAYED", B6 = "XXX"), B6, IF(B6 = "F", "-F", IF(B6 = "-F", "F", -1*B6)))</f>
        <v>XXX</v>
      </c>
      <c r="G2" s="4" t="str">
        <f>IF(OR(B7 = "UNPLAYED", B7 = "XXX"), B7, IF(B7 = "F", "-F", IF(B7 = "-F", "F", -1*B7)))</f>
        <v>F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100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F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IF(C4 = "F", "-F", IF(C4 = "-F", "F", -1*C4)))</f>
        <v>F</v>
      </c>
      <c r="E3" s="4" t="str">
        <f>IF(OR(C5 = "UNPLAYED", C5 = "XXX"), C5, IF(C5 = "F", "-F", IF(C5 = "-F", "F", -1*C5)))</f>
        <v>F</v>
      </c>
      <c r="F3" s="4">
        <f>IF(OR(C6 = "UNPLAYED", C6 = "XXX"), C6, IF(C6 = "F", "-F", IF(C6 = "-F", "F", -1*C6)))</f>
        <v>-60</v>
      </c>
      <c r="G3" s="4" t="str">
        <f>IF(OR(C7 = "UNPLAYED", C7 = "XXX"), C7, IF(C7 = "F", "-F", IF(C7 = "-F", "F", -1*C7)))</f>
        <v>F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-45</v>
      </c>
      <c r="K3" s="4" t="str">
        <f>IF(OR(C11 = "UNPLAYED", C11 = "XXX"), C11, IF(C11 = "F", "-F", IF(C11 = "-F", "F", -1*C11)))</f>
        <v>F</v>
      </c>
    </row>
    <row r="4" spans="1:12" ht="25.8" thickBot="1" x14ac:dyDescent="0.6">
      <c r="A4" s="9" t="s">
        <v>23</v>
      </c>
      <c r="B4" s="14" t="s">
        <v>70</v>
      </c>
      <c r="C4" s="14" t="s">
        <v>70</v>
      </c>
      <c r="D4" s="2" t="s">
        <v>3</v>
      </c>
      <c r="E4" s="4" t="str">
        <f>IF(OR(D5 = "UNPLAYED", D5 = "XXX"), D5, IF(D5 = "F", "-F", IF(D5 = "-F", "F", -1*D5)))</f>
        <v>-F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-F</v>
      </c>
      <c r="K4" s="4" t="str">
        <f>IF(OR(D11 = "UNPLAYED", D11 = "XXX"), D11, IF(D11 = "F", "-F", IF(D11 = "-F", "F", -1*D11)))</f>
        <v>XXX</v>
      </c>
    </row>
    <row r="5" spans="1:12" ht="25.8" thickBot="1" x14ac:dyDescent="0.6">
      <c r="A5" s="9" t="s">
        <v>48</v>
      </c>
      <c r="B5" s="3">
        <v>-100</v>
      </c>
      <c r="C5" s="14" t="s">
        <v>70</v>
      </c>
      <c r="D5" s="3" t="s">
        <v>69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F</v>
      </c>
      <c r="H5" s="4" t="str">
        <f>IF(OR(E8 = "UNPLAYED", E8 = "XXX"), E8, IF(E8 = "F", "-F", IF(E8 = "-F", "F", -1*E8)))</f>
        <v>F</v>
      </c>
      <c r="I5" s="4" t="str">
        <f>IF(OR(E9 = "UNPLAYED", E9 = "XXX"), E9, IF(E9 = "F", "-F", IF(E9 = "-F", "F", -1*E9)))</f>
        <v>-F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F</v>
      </c>
    </row>
    <row r="6" spans="1:12" ht="25.8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45</v>
      </c>
      <c r="H6" s="4" t="str">
        <f>IF(OR(F8 = "UNPLAYED", F8 = "XXX"), F8, IF(F8 = "F", "-F", IF(F8 = "-F", "F", -1*F8)))</f>
        <v>F</v>
      </c>
      <c r="I6" s="4">
        <f>IF(OR(F9 = "UNPLAYED", F9 = "XXX"), F9, IF(F9 = "F", "-F", IF(F9 = "-F", "F", -1*F9)))</f>
        <v>-70</v>
      </c>
      <c r="J6" s="4">
        <f>IF(OR(F10 = "UNPLAYED", F10 = "XXX"), F10, IF(F10 = "F", "-F", IF(F10 = "-F", "F", -1*F10)))</f>
        <v>-100</v>
      </c>
      <c r="K6" s="4" t="str">
        <f>IF(OR(F11 = "UNPLAYED", F11 = "XXX"), F11, IF(F11 = "F", "-F", IF(F11 = "-F", "F", -1*F11)))</f>
        <v>F</v>
      </c>
    </row>
    <row r="7" spans="1:12" ht="25.5" x14ac:dyDescent="0.55000000000000004">
      <c r="A7" s="10" t="s">
        <v>42</v>
      </c>
      <c r="B7" s="14" t="s">
        <v>70</v>
      </c>
      <c r="C7" s="14" t="s">
        <v>70</v>
      </c>
      <c r="D7" s="3" t="s">
        <v>4</v>
      </c>
      <c r="E7" s="14" t="s">
        <v>70</v>
      </c>
      <c r="F7" s="3">
        <v>-45</v>
      </c>
      <c r="G7" s="2" t="s">
        <v>3</v>
      </c>
      <c r="H7" s="4" t="str">
        <f>IF(OR(G8 = "UNPLAYED", G8 = "XXX"), G8, IF(G8 = "F", "-F", IF(G8 = "-F", "F", -1*G8)))</f>
        <v>UNPLAYED</v>
      </c>
      <c r="I7" s="4" t="str">
        <f>IF(OR(G9 = "UNPLAYED", G9 = "XXX"), G9, IF(G9 = "F", "-F", IF(G9 = "-F", "F", -1*G9)))</f>
        <v>XXX</v>
      </c>
      <c r="J7" s="4" t="str">
        <f>IF(OR(G10 = "UNPLAYED", G10 = "XXX"), G10, IF(G10 = "F", "-F", IF(G10 = "-F", "F", -1*G10)))</f>
        <v>UNPLAYED</v>
      </c>
      <c r="K7" s="4" t="str">
        <f>IF(OR(G11 = "UNPLAYED", G11 = "XXX"), G11, IF(G11 = "F", "-F", IF(G11 = "-F", "F", -1*G11)))</f>
        <v>XXX</v>
      </c>
    </row>
    <row r="8" spans="1:12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14" t="s">
        <v>70</v>
      </c>
      <c r="F8" s="14" t="s">
        <v>70</v>
      </c>
      <c r="G8" s="3" t="s">
        <v>4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-F</v>
      </c>
      <c r="K8" s="4" t="str">
        <f>IF(OR(H11 = "UNPLAYED", H11 = "XXX"), H11, IF(H11 = "F", "-F", IF(H11 = "-F", "F", -1*H11)))</f>
        <v>UNPLAYED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69</v>
      </c>
      <c r="F9" s="3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-100</v>
      </c>
      <c r="K9" s="4">
        <f>IF(OR(I11 = "UNPLAYED", I11 = "XXX"), I11, IF(I11 = "F", "-F", IF(I11 = "-F", "F", -1*I11)))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>
        <v>45</v>
      </c>
      <c r="D10" s="3" t="s">
        <v>69</v>
      </c>
      <c r="E10" s="2" t="s">
        <v>3</v>
      </c>
      <c r="F10" s="3">
        <v>100</v>
      </c>
      <c r="G10" s="3" t="s">
        <v>4</v>
      </c>
      <c r="H10" s="3" t="s">
        <v>69</v>
      </c>
      <c r="I10" s="3">
        <v>100</v>
      </c>
      <c r="J10" s="2" t="s">
        <v>3</v>
      </c>
      <c r="K10" s="4" t="str">
        <f>IF(OR(J11 = "UNPLAYED", J11 = "XXX"), J11, IF(J11 = "F", "-F", IF(J11 = "-F", "F", -1*J11)))</f>
        <v>UNPLAYED</v>
      </c>
      <c r="L10" s="1"/>
    </row>
    <row r="11" spans="1:12" ht="25.5" x14ac:dyDescent="0.55000000000000004">
      <c r="A11" s="1" t="s">
        <v>56</v>
      </c>
      <c r="B11" s="14" t="s">
        <v>70</v>
      </c>
      <c r="C11" s="14" t="s">
        <v>70</v>
      </c>
      <c r="D11" s="2" t="s">
        <v>3</v>
      </c>
      <c r="E11" s="14" t="s">
        <v>70</v>
      </c>
      <c r="F11" s="14" t="s">
        <v>70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19" priority="23" operator="equal">
      <formula>"UNPLAYED"</formula>
    </cfRule>
    <cfRule type="cellIs" dxfId="18" priority="24" operator="equal">
      <formula>"XXX"</formula>
    </cfRule>
  </conditionalFormatting>
  <conditionalFormatting sqref="B6:D7">
    <cfRule type="cellIs" dxfId="17" priority="33" operator="equal">
      <formula>"UNPLAYED"</formula>
    </cfRule>
    <cfRule type="cellIs" dxfId="16" priority="34" operator="equal">
      <formula>"XXX"</formula>
    </cfRule>
  </conditionalFormatting>
  <conditionalFormatting sqref="B2:K5">
    <cfRule type="cellIs" dxfId="15" priority="15" operator="equal">
      <formula>"UNPLAYED"</formula>
    </cfRule>
    <cfRule type="cellIs" dxfId="14" priority="16" operator="equal">
      <formula>"XXX"</formula>
    </cfRule>
  </conditionalFormatting>
  <conditionalFormatting sqref="B8:K8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C9">
    <cfRule type="cellIs" dxfId="11" priority="29" operator="equal">
      <formula>"UNPLAYED"</formula>
    </cfRule>
    <cfRule type="cellIs" dxfId="10" priority="30" operator="equal">
      <formula>"XXX"</formula>
    </cfRule>
  </conditionalFormatting>
  <conditionalFormatting sqref="E7:K7">
    <cfRule type="cellIs" dxfId="9" priority="7" operator="equal">
      <formula>"UNPLAYED"</formula>
    </cfRule>
    <cfRule type="cellIs" dxfId="8" priority="8" operator="equal">
      <formula>"XXX"</formula>
    </cfRule>
  </conditionalFormatting>
  <conditionalFormatting sqref="F6:K6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G11">
    <cfRule type="cellIs" dxfId="5" priority="27" operator="equal">
      <formula>"UNPLAYED"</formula>
    </cfRule>
    <cfRule type="cellIs" dxfId="4" priority="28" operator="equal">
      <formula>"XXX"</formula>
    </cfRule>
  </conditionalFormatting>
  <conditionalFormatting sqref="J9:K9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K10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BC70-835A-40D4-BE4F-1F491AA8373B}">
  <dimension ref="A1:W22"/>
  <sheetViews>
    <sheetView tabSelected="1" workbookViewId="0">
      <selection activeCell="G15" sqref="G15"/>
    </sheetView>
  </sheetViews>
  <sheetFormatPr defaultRowHeight="14.4" x14ac:dyDescent="0.55000000000000004"/>
  <cols>
    <col min="1" max="1" width="12.05078125" customWidth="1"/>
    <col min="14" max="14" width="10.7890625" bestFit="1" customWidth="1"/>
  </cols>
  <sheetData>
    <row r="1" spans="1:23" x14ac:dyDescent="0.55000000000000004">
      <c r="A1" t="s">
        <v>73</v>
      </c>
      <c r="B1" t="s">
        <v>74</v>
      </c>
      <c r="C1" t="s">
        <v>74</v>
      </c>
      <c r="D1" t="s">
        <v>111</v>
      </c>
      <c r="F1" t="s">
        <v>54</v>
      </c>
      <c r="G1" t="s">
        <v>80</v>
      </c>
      <c r="H1" t="s">
        <v>71</v>
      </c>
      <c r="I1" t="s">
        <v>81</v>
      </c>
      <c r="J1" t="s">
        <v>59</v>
      </c>
      <c r="K1" t="s">
        <v>88</v>
      </c>
      <c r="L1" t="s">
        <v>114</v>
      </c>
      <c r="N1" t="s">
        <v>91</v>
      </c>
    </row>
    <row r="2" spans="1:23" x14ac:dyDescent="0.55000000000000004">
      <c r="A2" t="s">
        <v>77</v>
      </c>
      <c r="B2" t="s">
        <v>75</v>
      </c>
      <c r="C2" t="s">
        <v>20</v>
      </c>
      <c r="D2" t="s">
        <v>112</v>
      </c>
      <c r="I2" t="s">
        <v>82</v>
      </c>
      <c r="J2">
        <f>COUNTA(A2:A22) + 0.5 * COUNTA(H2:H22) + 0.4 * COUNTA(G2:G22) + 0.25 * COUNTA(F2:F22)</f>
        <v>13</v>
      </c>
      <c r="K2">
        <f>COUNTA(A2:A22) + 0.5 * COUNTA(H2:H22) + 0.5 * COUNTA(G2:G22) + 0.5 * COUNTA(F2:F22)</f>
        <v>13</v>
      </c>
      <c r="L2">
        <f>COUNTA(A2:A22) + 0.5 * COUNTA(H2:H22)</f>
        <v>13</v>
      </c>
      <c r="O2">
        <v>8</v>
      </c>
      <c r="P2">
        <v>9</v>
      </c>
      <c r="Q2">
        <v>10</v>
      </c>
      <c r="R2">
        <v>11</v>
      </c>
      <c r="S2">
        <v>12</v>
      </c>
      <c r="T2">
        <v>13</v>
      </c>
      <c r="U2">
        <v>14</v>
      </c>
      <c r="V2">
        <v>15</v>
      </c>
      <c r="W2">
        <v>16</v>
      </c>
    </row>
    <row r="3" spans="1:23" x14ac:dyDescent="0.55000000000000004">
      <c r="A3" t="s">
        <v>76</v>
      </c>
      <c r="B3" t="s">
        <v>9</v>
      </c>
      <c r="C3" t="s">
        <v>11</v>
      </c>
      <c r="D3" t="s">
        <v>112</v>
      </c>
      <c r="I3" t="s">
        <v>83</v>
      </c>
      <c r="N3" t="s">
        <v>92</v>
      </c>
      <c r="O3">
        <v>4</v>
      </c>
      <c r="P3">
        <v>3</v>
      </c>
      <c r="S3">
        <v>3</v>
      </c>
    </row>
    <row r="4" spans="1:23" x14ac:dyDescent="0.55000000000000004">
      <c r="A4" t="s">
        <v>129</v>
      </c>
      <c r="B4" t="s">
        <v>7</v>
      </c>
      <c r="C4" t="s">
        <v>13</v>
      </c>
      <c r="D4" s="16">
        <v>0.3125</v>
      </c>
      <c r="I4" t="s">
        <v>14</v>
      </c>
      <c r="N4" t="s">
        <v>93</v>
      </c>
      <c r="Q4">
        <v>3</v>
      </c>
      <c r="R4">
        <v>3</v>
      </c>
      <c r="T4">
        <v>2</v>
      </c>
      <c r="U4">
        <v>2</v>
      </c>
      <c r="V4">
        <v>2</v>
      </c>
    </row>
    <row r="5" spans="1:23" x14ac:dyDescent="0.55000000000000004">
      <c r="A5" t="s">
        <v>118</v>
      </c>
      <c r="B5" t="s">
        <v>121</v>
      </c>
      <c r="C5" t="s">
        <v>122</v>
      </c>
      <c r="D5" s="16">
        <v>0.32291666666666669</v>
      </c>
      <c r="I5" t="s">
        <v>108</v>
      </c>
    </row>
    <row r="6" spans="1:23" x14ac:dyDescent="0.55000000000000004">
      <c r="A6" t="s">
        <v>119</v>
      </c>
      <c r="B6" t="s">
        <v>101</v>
      </c>
      <c r="C6" t="s">
        <v>103</v>
      </c>
      <c r="D6" t="s">
        <v>112</v>
      </c>
      <c r="I6" t="s">
        <v>100</v>
      </c>
      <c r="N6" t="s">
        <v>94</v>
      </c>
      <c r="O6">
        <f>IF(O3 &gt; 0, (O3)*(O3-1)/2 * (O2/O3), 0)</f>
        <v>12</v>
      </c>
      <c r="P6">
        <f t="shared" ref="P6:T6" si="0">IF(P3 &gt; 0, (P3)*(P3-1)/2 * (P2/P3), 0)</f>
        <v>9</v>
      </c>
      <c r="Q6">
        <f t="shared" si="0"/>
        <v>0</v>
      </c>
      <c r="R6">
        <f t="shared" si="0"/>
        <v>0</v>
      </c>
      <c r="S6">
        <f t="shared" si="0"/>
        <v>12</v>
      </c>
      <c r="T6">
        <f t="shared" si="0"/>
        <v>0</v>
      </c>
      <c r="U6">
        <f t="shared" ref="U6:V6" si="1">IF(U3 &gt; 0, (U3)*(U3-1)/2 * (U2/U3), 0)</f>
        <v>0</v>
      </c>
      <c r="V6">
        <f t="shared" si="1"/>
        <v>0</v>
      </c>
    </row>
    <row r="7" spans="1:23" x14ac:dyDescent="0.55000000000000004">
      <c r="A7" t="s">
        <v>125</v>
      </c>
      <c r="B7" t="s">
        <v>124</v>
      </c>
      <c r="C7" t="s">
        <v>117</v>
      </c>
      <c r="D7" s="16" t="s">
        <v>112</v>
      </c>
      <c r="I7" t="s">
        <v>109</v>
      </c>
      <c r="N7" t="s">
        <v>95</v>
      </c>
      <c r="O7">
        <f t="shared" ref="O7:P7" si="2">IF(O4&gt;0,O4 * O2 / 2, 0)</f>
        <v>0</v>
      </c>
      <c r="P7">
        <f t="shared" si="2"/>
        <v>0</v>
      </c>
      <c r="Q7">
        <f>IF(Q4&gt;0,Q4 * Q2 / 2, 0)</f>
        <v>15</v>
      </c>
      <c r="R7">
        <f t="shared" ref="R7:V7" si="3">IF(R4&gt;0,R4 * R2 / 2, 0)</f>
        <v>16.5</v>
      </c>
      <c r="S7">
        <f t="shared" si="3"/>
        <v>0</v>
      </c>
      <c r="T7">
        <f t="shared" si="3"/>
        <v>13</v>
      </c>
      <c r="U7">
        <f t="shared" si="3"/>
        <v>14</v>
      </c>
      <c r="V7">
        <f t="shared" si="3"/>
        <v>15</v>
      </c>
    </row>
    <row r="8" spans="1:23" x14ac:dyDescent="0.55000000000000004">
      <c r="A8" t="s">
        <v>123</v>
      </c>
      <c r="B8" t="s">
        <v>120</v>
      </c>
      <c r="C8" t="s">
        <v>78</v>
      </c>
      <c r="D8" s="16">
        <v>0.32291666666666669</v>
      </c>
    </row>
    <row r="9" spans="1:23" x14ac:dyDescent="0.55000000000000004">
      <c r="A9" t="s">
        <v>127</v>
      </c>
      <c r="B9" t="s">
        <v>18</v>
      </c>
      <c r="C9" t="s">
        <v>84</v>
      </c>
      <c r="D9" t="s">
        <v>112</v>
      </c>
      <c r="N9" t="s">
        <v>96</v>
      </c>
      <c r="O9">
        <v>5</v>
      </c>
      <c r="P9">
        <v>6</v>
      </c>
      <c r="Q9">
        <v>6</v>
      </c>
      <c r="R9">
        <v>6</v>
      </c>
      <c r="S9">
        <v>8</v>
      </c>
      <c r="T9">
        <v>0</v>
      </c>
    </row>
    <row r="10" spans="1:23" x14ac:dyDescent="0.55000000000000004">
      <c r="A10" t="s">
        <v>90</v>
      </c>
      <c r="B10" t="s">
        <v>79</v>
      </c>
      <c r="C10" t="s">
        <v>86</v>
      </c>
      <c r="D10" s="16" t="s">
        <v>112</v>
      </c>
      <c r="N10" t="s">
        <v>102</v>
      </c>
      <c r="T10">
        <v>10</v>
      </c>
      <c r="U10">
        <v>10</v>
      </c>
      <c r="V10">
        <v>10</v>
      </c>
      <c r="W10">
        <v>16</v>
      </c>
    </row>
    <row r="11" spans="1:23" x14ac:dyDescent="0.55000000000000004">
      <c r="A11" t="s">
        <v>126</v>
      </c>
      <c r="B11" t="s">
        <v>85</v>
      </c>
      <c r="C11" t="s">
        <v>22</v>
      </c>
      <c r="D11" s="16" t="s">
        <v>112</v>
      </c>
      <c r="N11" t="s">
        <v>115</v>
      </c>
      <c r="T11">
        <v>13</v>
      </c>
      <c r="U11">
        <v>13</v>
      </c>
      <c r="V11">
        <v>13</v>
      </c>
      <c r="W11">
        <v>31</v>
      </c>
    </row>
    <row r="12" spans="1:23" x14ac:dyDescent="0.55000000000000004">
      <c r="A12" t="s">
        <v>3</v>
      </c>
      <c r="B12" t="s">
        <v>10</v>
      </c>
      <c r="C12" t="s">
        <v>113</v>
      </c>
      <c r="D12" s="16" t="s">
        <v>112</v>
      </c>
    </row>
    <row r="13" spans="1:23" x14ac:dyDescent="0.55000000000000004">
      <c r="A13" t="s">
        <v>89</v>
      </c>
      <c r="B13" t="s">
        <v>17</v>
      </c>
      <c r="C13" t="s">
        <v>72</v>
      </c>
      <c r="D13" s="16" t="s">
        <v>112</v>
      </c>
      <c r="N13" t="s">
        <v>97</v>
      </c>
      <c r="O13">
        <f>O6 + O7 + O9</f>
        <v>17</v>
      </c>
      <c r="P13">
        <f>P6 + P7 + P9</f>
        <v>15</v>
      </c>
      <c r="Q13">
        <f>Q6 + Q7 + Q9</f>
        <v>21</v>
      </c>
      <c r="R13">
        <f>R6 + R7 + R9</f>
        <v>22.5</v>
      </c>
      <c r="S13">
        <f>S6 + S7 + S9</f>
        <v>20</v>
      </c>
      <c r="T13">
        <f>T6 + T7 + T9 + T11</f>
        <v>26</v>
      </c>
      <c r="U13">
        <f t="shared" ref="U13:W13" si="4">U6 + U7 + U9 + U11</f>
        <v>27</v>
      </c>
      <c r="V13">
        <f t="shared" si="4"/>
        <v>28</v>
      </c>
      <c r="W13">
        <f t="shared" si="4"/>
        <v>31</v>
      </c>
    </row>
    <row r="14" spans="1:23" x14ac:dyDescent="0.55000000000000004">
      <c r="A14" t="s">
        <v>128</v>
      </c>
      <c r="B14" t="s">
        <v>21</v>
      </c>
      <c r="C14" t="s">
        <v>87</v>
      </c>
      <c r="D14" s="16" t="s">
        <v>112</v>
      </c>
      <c r="K14" t="s">
        <v>37</v>
      </c>
      <c r="L14" t="s">
        <v>98</v>
      </c>
    </row>
    <row r="15" spans="1:23" x14ac:dyDescent="0.55000000000000004">
      <c r="K15">
        <v>2</v>
      </c>
      <c r="L15">
        <v>20</v>
      </c>
      <c r="N15" t="s">
        <v>99</v>
      </c>
      <c r="O15">
        <f>O13 * ($L$15 / 60) / $K$15</f>
        <v>2.833333333333333</v>
      </c>
      <c r="P15">
        <f t="shared" ref="P15:V15" si="5">P13 * ($L$15 / 60) / $K$15</f>
        <v>2.5</v>
      </c>
      <c r="Q15">
        <f t="shared" si="5"/>
        <v>3.5</v>
      </c>
      <c r="R15">
        <f t="shared" si="5"/>
        <v>3.75</v>
      </c>
      <c r="S15">
        <f t="shared" si="5"/>
        <v>3.333333333333333</v>
      </c>
      <c r="T15">
        <f>T13 * ($L$15 / 60) / $K$15</f>
        <v>4.333333333333333</v>
      </c>
      <c r="U15">
        <f t="shared" si="5"/>
        <v>4.5</v>
      </c>
      <c r="V15">
        <f t="shared" si="5"/>
        <v>4.6666666666666661</v>
      </c>
      <c r="W15">
        <f t="shared" ref="W15" si="6">W13 * ($L$15 / 60) / $K$15</f>
        <v>5.1666666666666661</v>
      </c>
    </row>
    <row r="16" spans="1:23" x14ac:dyDescent="0.55000000000000004">
      <c r="K16" t="s">
        <v>106</v>
      </c>
      <c r="L16" s="15">
        <v>0.9</v>
      </c>
    </row>
    <row r="17" spans="10:23" x14ac:dyDescent="0.55000000000000004">
      <c r="J17" t="s">
        <v>107</v>
      </c>
      <c r="N17" t="s">
        <v>110</v>
      </c>
      <c r="O17">
        <f t="shared" ref="O17:S17" si="7">($L$18 * (O6 + O7) + (O9 + O11) * $L$15) / ($K$15 * 60)</f>
        <v>2.2333333333333334</v>
      </c>
      <c r="P17">
        <f t="shared" si="7"/>
        <v>2.0499999999999998</v>
      </c>
      <c r="Q17">
        <f t="shared" si="7"/>
        <v>2.75</v>
      </c>
      <c r="R17">
        <f t="shared" si="7"/>
        <v>2.9249999999999998</v>
      </c>
      <c r="S17">
        <f t="shared" si="7"/>
        <v>2.7333333333333334</v>
      </c>
      <c r="T17">
        <f>($L$18 * (T6 + T7) + (T9 + T11) * $L$15) / ($K$15 * 60)</f>
        <v>3.6833333333333331</v>
      </c>
      <c r="U17">
        <f t="shared" ref="U17:W17" si="8">($L$18 * (U6 + U7) + (U9 + U11) * $L$15) / ($K$15 * 60)</f>
        <v>3.8</v>
      </c>
      <c r="V17">
        <f t="shared" si="8"/>
        <v>3.9166666666666665</v>
      </c>
      <c r="W17">
        <f t="shared" si="8"/>
        <v>5.166666666666667</v>
      </c>
    </row>
    <row r="18" spans="10:23" x14ac:dyDescent="0.55000000000000004">
      <c r="J18">
        <v>4</v>
      </c>
      <c r="L18">
        <f>L15 * (L16 * J18/6 + (1-L16))</f>
        <v>14</v>
      </c>
    </row>
    <row r="20" spans="10:23" x14ac:dyDescent="0.55000000000000004">
      <c r="N20" t="s">
        <v>104</v>
      </c>
    </row>
    <row r="21" spans="10:23" x14ac:dyDescent="0.55000000000000004">
      <c r="N21" t="s">
        <v>105</v>
      </c>
    </row>
    <row r="22" spans="10:23" x14ac:dyDescent="0.55000000000000004">
      <c r="N22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HomeGames</vt:lpstr>
      <vt:lpstr>AwayGames</vt:lpstr>
      <vt:lpstr>Disallowed games</vt:lpstr>
      <vt:lpstr>TeamInfo</vt:lpstr>
      <vt:lpstr>AwayGamesBig</vt:lpstr>
      <vt:lpstr>notes</vt:lpstr>
      <vt:lpstr>spring tourney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2026-04-02T14:04:37Z</dcterms:modified>
</cp:coreProperties>
</file>